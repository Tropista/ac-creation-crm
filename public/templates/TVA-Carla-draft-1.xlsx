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EB7A6EAF78C72C/Documents/"/>
    </mc:Choice>
  </mc:AlternateContent>
  <xr:revisionPtr revIDLastSave="159" documentId="8_{D8D7EA75-F724-41D3-B0CF-C2B1229BD506}" xr6:coauthVersionLast="47" xr6:coauthVersionMax="47" xr10:uidLastSave="{03A5175A-AF29-4A4E-9AE3-30D82220541C}"/>
  <bookViews>
    <workbookView xWindow="-120" yWindow="-120" windowWidth="29040" windowHeight="15720" tabRatio="943" xr2:uid="{6B3E6E4B-0CBE-4A3C-B793-AFC61DC73AB6}"/>
  </bookViews>
  <sheets>
    <sheet name="Achats_LUX" sheetId="8" r:id="rId1"/>
    <sheet name="AIC" sheetId="42" r:id="rId2"/>
    <sheet name="Chida_LUX" sheetId="51" r:id="rId3"/>
    <sheet name="Chida_UE" sheetId="82" r:id="rId4"/>
    <sheet name="Importations 1" sheetId="83" r:id="rId5"/>
    <sheet name="Chida_HUE" sheetId="81" r:id="rId6"/>
    <sheet name="Importations" sheetId="70" state="hidden" r:id="rId7"/>
    <sheet name="Montant TVA déductible" sheetId="79" r:id="rId8"/>
    <sheet name="Feuil1" sheetId="80" r:id="rId9"/>
  </sheets>
  <externalReferences>
    <externalReference r:id="rId10"/>
    <externalReference r:id="rId11"/>
    <externalReference r:id="rId12"/>
  </externalReferences>
  <definedNames>
    <definedName name="_xlnm._FilterDatabase" localSheetId="3" hidden="1">#N/A</definedName>
    <definedName name="_Key1" localSheetId="1" hidden="1">'[1]BI - TVA Lux'!#REF!</definedName>
    <definedName name="_Key1" localSheetId="5" hidden="1">'[1]BI - TVA Lux'!#REF!</definedName>
    <definedName name="_Key1" localSheetId="2" hidden="1">'[1]BI - TVA Lux'!#REF!</definedName>
    <definedName name="_Key1" localSheetId="3" hidden="1">'[1]BI - TVA Lux'!#REF!</definedName>
    <definedName name="_Key1" localSheetId="7" hidden="1">'[1]BI - TVA Lux'!#REF!</definedName>
    <definedName name="_Key1" hidden="1">'[1]BI - TVA Lux'!#REF!</definedName>
    <definedName name="_Key2" localSheetId="1" hidden="1">'[1]BI - TVA Lux'!#REF!</definedName>
    <definedName name="_Key2" localSheetId="5" hidden="1">'[1]BI - TVA Lux'!#REF!</definedName>
    <definedName name="_Key2" localSheetId="2" hidden="1">'[1]BI - TVA Lux'!#REF!</definedName>
    <definedName name="_Key2" localSheetId="3" hidden="1">'[1]BI - TVA Lux'!#REF!</definedName>
    <definedName name="_Key2" localSheetId="7" hidden="1">'[1]BI - TVA Lux'!#REF!</definedName>
    <definedName name="_Key2" hidden="1">'[1]BI - TVA Lux'!#REF!</definedName>
    <definedName name="_Order1" hidden="1">0</definedName>
    <definedName name="_Order2" hidden="1">255</definedName>
    <definedName name="_PG1" localSheetId="1" hidden="1">{#N/A,#N/A,FALSE,"Aging Summary";#N/A,#N/A,FALSE,"Ratio Analysis";#N/A,#N/A,FALSE,"Test 120 Day Accts";#N/A,#N/A,FALSE,"Tickmarks"}</definedName>
    <definedName name="_PG1" localSheetId="5" hidden="1">{#N/A,#N/A,FALSE,"Aging Summary";#N/A,#N/A,FALSE,"Ratio Analysis";#N/A,#N/A,FALSE,"Test 120 Day Accts";#N/A,#N/A,FALSE,"Tickmarks"}</definedName>
    <definedName name="_PG1" localSheetId="2" hidden="1">{#N/A,#N/A,FALSE,"Aging Summary";#N/A,#N/A,FALSE,"Ratio Analysis";#N/A,#N/A,FALSE,"Test 120 Day Accts";#N/A,#N/A,FALSE,"Tickmarks"}</definedName>
    <definedName name="_PG1" localSheetId="3" hidden="1">{#N/A,#N/A,FALSE,"Aging Summary";#N/A,#N/A,FALSE,"Ratio Analysis";#N/A,#N/A,FALSE,"Test 120 Day Accts";#N/A,#N/A,FALSE,"Tickmarks"}</definedName>
    <definedName name="_PG1" localSheetId="4" hidden="1">{#N/A,#N/A,FALSE,"Aging Summary";#N/A,#N/A,FALSE,"Ratio Analysis";#N/A,#N/A,FALSE,"Test 120 Day Accts";#N/A,#N/A,FALSE,"Tickmarks"}</definedName>
    <definedName name="_PG1" hidden="1">{#N/A,#N/A,FALSE,"Aging Summary";#N/A,#N/A,FALSE,"Ratio Analysis";#N/A,#N/A,FALSE,"Test 120 Day Accts";#N/A,#N/A,FALSE,"Tickmarks"}</definedName>
    <definedName name="_Sort" localSheetId="1" hidden="1">#N/A</definedName>
    <definedName name="_Sort" localSheetId="5" hidden="1">#REF!</definedName>
    <definedName name="_Sort" localSheetId="2" hidden="1">#N/A</definedName>
    <definedName name="_Sort" localSheetId="3" hidden="1">#REF!</definedName>
    <definedName name="_Sort" localSheetId="4" hidden="1">#REF!</definedName>
    <definedName name="_Sort" localSheetId="7" hidden="1">#N/A</definedName>
    <definedName name="_Sort" hidden="1">#N/A</definedName>
    <definedName name="AS2DocOpenMode" hidden="1">"AS2DocumentEdit"</definedName>
    <definedName name="cnListe">[2]Sheet1!$A$1:$A$65536</definedName>
    <definedName name="ER" localSheetId="5" hidden="1">#REF!</definedName>
    <definedName name="ER" localSheetId="7" hidden="1">#REF!</definedName>
    <definedName name="ER" hidden="1">#REF!</definedName>
    <definedName name="FG" localSheetId="5" hidden="1">'[1]BI - TVA Lux'!#REF!</definedName>
    <definedName name="FG" localSheetId="7" hidden="1">'[1]BI - TVA Lux'!#REF!</definedName>
    <definedName name="FG" hidden="1">'[1]BI - TVA Lux'!#REF!</definedName>
    <definedName name="_xlnm.Print_Titles" localSheetId="1">#N/A</definedName>
    <definedName name="_xlnm.Print_Titles" localSheetId="5">#N/A</definedName>
    <definedName name="_xlnm.Print_Titles" localSheetId="2">#N/A</definedName>
    <definedName name="_xlnm.Print_Titles" localSheetId="3">#N/A</definedName>
    <definedName name="page1" localSheetId="1" hidden="1">{#N/A,#N/A,FALSE,"Aging Summary";#N/A,#N/A,FALSE,"Ratio Analysis";#N/A,#N/A,FALSE,"Test 120 Day Accts";#N/A,#N/A,FALSE,"Tickmarks"}</definedName>
    <definedName name="page1" localSheetId="5" hidden="1">{#N/A,#N/A,FALSE,"Aging Summary";#N/A,#N/A,FALSE,"Ratio Analysis";#N/A,#N/A,FALSE,"Test 120 Day Accts";#N/A,#N/A,FALSE,"Tickmarks"}</definedName>
    <definedName name="page1" localSheetId="2" hidden="1">{#N/A,#N/A,FALSE,"Aging Summary";#N/A,#N/A,FALSE,"Ratio Analysis";#N/A,#N/A,FALSE,"Test 120 Day Accts";#N/A,#N/A,FALSE,"Tickmarks"}</definedName>
    <definedName name="page1" localSheetId="3" hidden="1">{#N/A,#N/A,FALSE,"Aging Summary";#N/A,#N/A,FALSE,"Ratio Analysis";#N/A,#N/A,FALSE,"Test 120 Day Accts";#N/A,#N/A,FALSE,"Tickmarks"}</definedName>
    <definedName name="page1" localSheetId="4" hidden="1">{#N/A,#N/A,FALSE,"Aging Summary";#N/A,#N/A,FALSE,"Ratio Analysis";#N/A,#N/A,FALSE,"Test 120 Day Accts";#N/A,#N/A,FALSE,"Tickmarks"}</definedName>
    <definedName name="page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_xlnm.Print_Area" localSheetId="0">#N/A</definedName>
    <definedName name="_xlnm.Print_Area" localSheetId="1">#N/A</definedName>
    <definedName name="_xlnm.Print_Area" localSheetId="5">#N/A</definedName>
    <definedName name="_xlnm.Print_Area" localSheetId="2">Chida_LUX!$A$1:$Q$92</definedName>
    <definedName name="_xlnm.Print_Area" localSheetId="3">#N/A</definedName>
    <definedName name="_xlnm.Print_Area" localSheetId="6">#N/A</definedName>
    <definedName name="_xlnm.Print_Area" localSheetId="4">#N/A</definedName>
    <definedName name="_xlnm.Print_Area" localSheetId="7">#N/A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8" l="1"/>
  <c r="I28" i="8"/>
  <c r="H29" i="8"/>
  <c r="I29" i="8"/>
  <c r="H30" i="8"/>
  <c r="I30" i="8"/>
  <c r="H31" i="8"/>
  <c r="I31" i="8"/>
  <c r="H32" i="8"/>
  <c r="I32" i="8"/>
  <c r="H33" i="8"/>
  <c r="I33" i="8"/>
  <c r="H34" i="8"/>
  <c r="I34" i="8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H45" i="8"/>
  <c r="I45" i="8"/>
  <c r="H46" i="8"/>
  <c r="I46" i="8"/>
  <c r="H13" i="8"/>
  <c r="I13" i="8" s="1"/>
  <c r="H14" i="8"/>
  <c r="I14" i="8" s="1"/>
  <c r="H15" i="8"/>
  <c r="I15" i="8" s="1"/>
  <c r="H16" i="8"/>
  <c r="I16" i="8" s="1"/>
  <c r="H17" i="8"/>
  <c r="I17" i="8" s="1"/>
  <c r="H18" i="8"/>
  <c r="I18" i="8" s="1"/>
  <c r="H19" i="8"/>
  <c r="I19" i="8" s="1"/>
  <c r="H20" i="8"/>
  <c r="I20" i="8" s="1"/>
  <c r="H21" i="8"/>
  <c r="I21" i="8" s="1"/>
  <c r="H22" i="8"/>
  <c r="I22" i="8" s="1"/>
  <c r="H23" i="8"/>
  <c r="I23" i="8" s="1"/>
  <c r="H24" i="8"/>
  <c r="I24" i="8" s="1"/>
  <c r="H25" i="8"/>
  <c r="H26" i="8"/>
  <c r="H27" i="8"/>
  <c r="I27" i="8" s="1"/>
  <c r="H47" i="8"/>
  <c r="I47" i="8" s="1"/>
  <c r="H48" i="8"/>
  <c r="I48" i="8" s="1"/>
  <c r="H49" i="8"/>
  <c r="I49" i="8" s="1"/>
  <c r="K44" i="51"/>
  <c r="L44" i="51" s="1"/>
  <c r="I44" i="51"/>
  <c r="I45" i="51"/>
  <c r="K45" i="51" s="1"/>
  <c r="L45" i="51" s="1"/>
  <c r="I46" i="51"/>
  <c r="K46" i="51" s="1"/>
  <c r="L46" i="51" s="1"/>
  <c r="I47" i="51"/>
  <c r="K47" i="51" s="1"/>
  <c r="L47" i="51" s="1"/>
  <c r="I48" i="51"/>
  <c r="K48" i="51" s="1"/>
  <c r="L48" i="51" s="1"/>
  <c r="M28" i="42"/>
  <c r="M29" i="42"/>
  <c r="M30" i="42"/>
  <c r="M31" i="42"/>
  <c r="M32" i="42"/>
  <c r="M33" i="42"/>
  <c r="M34" i="42"/>
  <c r="M35" i="42"/>
  <c r="M36" i="42"/>
  <c r="M37" i="42"/>
  <c r="M38" i="42"/>
  <c r="M39" i="42"/>
  <c r="M40" i="42"/>
  <c r="M41" i="42"/>
  <c r="M42" i="42"/>
  <c r="M43" i="42"/>
  <c r="M44" i="42"/>
  <c r="M45" i="42"/>
  <c r="M46" i="42"/>
  <c r="M47" i="42"/>
  <c r="L27" i="42"/>
  <c r="L28" i="42"/>
  <c r="L29" i="42"/>
  <c r="L30" i="42"/>
  <c r="L31" i="42"/>
  <c r="L32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J13" i="42"/>
  <c r="J14" i="42"/>
  <c r="J15" i="42"/>
  <c r="J16" i="42"/>
  <c r="J17" i="42"/>
  <c r="J18" i="42"/>
  <c r="L18" i="42" s="1"/>
  <c r="M18" i="42" s="1"/>
  <c r="J19" i="42"/>
  <c r="L19" i="42" s="1"/>
  <c r="M19" i="42" s="1"/>
  <c r="J20" i="42"/>
  <c r="L20" i="42" s="1"/>
  <c r="M20" i="42" s="1"/>
  <c r="J21" i="42"/>
  <c r="L21" i="42" s="1"/>
  <c r="M21" i="42" s="1"/>
  <c r="J22" i="42"/>
  <c r="J23" i="42"/>
  <c r="L23" i="42" s="1"/>
  <c r="M23" i="42" s="1"/>
  <c r="J24" i="42"/>
  <c r="L24" i="42" s="1"/>
  <c r="M24" i="42" s="1"/>
  <c r="J25" i="42"/>
  <c r="J26" i="42"/>
  <c r="L26" i="42" s="1"/>
  <c r="M26" i="42" s="1"/>
  <c r="J27" i="42"/>
  <c r="M27" i="42" s="1"/>
  <c r="J28" i="42"/>
  <c r="J29" i="42"/>
  <c r="J30" i="42"/>
  <c r="J31" i="42"/>
  <c r="J32" i="42"/>
  <c r="J33" i="42"/>
  <c r="J34" i="42"/>
  <c r="J35" i="42"/>
  <c r="J36" i="42"/>
  <c r="J37" i="42"/>
  <c r="J38" i="42"/>
  <c r="J39" i="42"/>
  <c r="J40" i="42"/>
  <c r="J41" i="42"/>
  <c r="J42" i="42"/>
  <c r="J43" i="42"/>
  <c r="J44" i="42"/>
  <c r="J45" i="42"/>
  <c r="J46" i="42"/>
  <c r="J47" i="42"/>
  <c r="J48" i="42"/>
  <c r="I25" i="8"/>
  <c r="I26" i="8"/>
  <c r="H12" i="8"/>
  <c r="I12" i="8" s="1"/>
  <c r="F20" i="79"/>
  <c r="B8" i="79"/>
  <c r="B8" i="70"/>
  <c r="B4" i="70"/>
  <c r="B3" i="70"/>
  <c r="B2" i="70"/>
  <c r="I43" i="51"/>
  <c r="K43" i="51" s="1"/>
  <c r="L43" i="51" s="1"/>
  <c r="I42" i="51"/>
  <c r="K42" i="51" s="1"/>
  <c r="L42" i="51" s="1"/>
  <c r="I41" i="51"/>
  <c r="K41" i="51" s="1"/>
  <c r="L41" i="51" s="1"/>
  <c r="I40" i="51"/>
  <c r="K40" i="51" s="1"/>
  <c r="L40" i="51" s="1"/>
  <c r="I39" i="51"/>
  <c r="K39" i="51" s="1"/>
  <c r="L39" i="51" s="1"/>
  <c r="I38" i="51"/>
  <c r="K38" i="51" s="1"/>
  <c r="L38" i="51" s="1"/>
  <c r="I37" i="51"/>
  <c r="K37" i="51" s="1"/>
  <c r="L37" i="51" s="1"/>
  <c r="L25" i="42"/>
  <c r="M25" i="42" s="1"/>
  <c r="L48" i="42"/>
  <c r="M48" i="42" s="1"/>
  <c r="I13" i="51"/>
  <c r="K13" i="51" s="1"/>
  <c r="L13" i="51" s="1"/>
  <c r="I14" i="51"/>
  <c r="K14" i="51" s="1"/>
  <c r="L14" i="51" s="1"/>
  <c r="I15" i="51"/>
  <c r="K15" i="51" s="1"/>
  <c r="L15" i="51" s="1"/>
  <c r="I16" i="51"/>
  <c r="K16" i="51" s="1"/>
  <c r="L16" i="51" s="1"/>
  <c r="I17" i="51"/>
  <c r="K17" i="51" s="1"/>
  <c r="L17" i="51" s="1"/>
  <c r="I18" i="51"/>
  <c r="K18" i="51" s="1"/>
  <c r="L18" i="51" s="1"/>
  <c r="I19" i="51"/>
  <c r="K19" i="51" s="1"/>
  <c r="L19" i="51" s="1"/>
  <c r="I20" i="51"/>
  <c r="K20" i="51" s="1"/>
  <c r="L20" i="51" s="1"/>
  <c r="I21" i="51"/>
  <c r="K21" i="51" s="1"/>
  <c r="L21" i="51" s="1"/>
  <c r="I22" i="51"/>
  <c r="K22" i="51" s="1"/>
  <c r="L22" i="51" s="1"/>
  <c r="I23" i="51"/>
  <c r="K23" i="51" s="1"/>
  <c r="L23" i="51" s="1"/>
  <c r="I24" i="51"/>
  <c r="K24" i="51" s="1"/>
  <c r="L24" i="51" s="1"/>
  <c r="I25" i="51"/>
  <c r="K25" i="51" s="1"/>
  <c r="L25" i="51" s="1"/>
  <c r="I26" i="51"/>
  <c r="K26" i="51" s="1"/>
  <c r="L26" i="51" s="1"/>
  <c r="I27" i="51"/>
  <c r="K27" i="51" s="1"/>
  <c r="L27" i="51" s="1"/>
  <c r="I28" i="51"/>
  <c r="K28" i="51" s="1"/>
  <c r="L28" i="51" s="1"/>
  <c r="I29" i="51"/>
  <c r="K29" i="51" s="1"/>
  <c r="L29" i="51" s="1"/>
  <c r="I30" i="51"/>
  <c r="K30" i="51" s="1"/>
  <c r="L30" i="51" s="1"/>
  <c r="I31" i="51"/>
  <c r="K31" i="51" s="1"/>
  <c r="L31" i="51" s="1"/>
  <c r="I32" i="51"/>
  <c r="K32" i="51" s="1"/>
  <c r="L32" i="51" s="1"/>
  <c r="I33" i="51"/>
  <c r="K33" i="51" s="1"/>
  <c r="L33" i="51" s="1"/>
  <c r="I34" i="51"/>
  <c r="K34" i="51" s="1"/>
  <c r="L34" i="51" s="1"/>
  <c r="I35" i="51"/>
  <c r="K35" i="51" s="1"/>
  <c r="L35" i="51" s="1"/>
  <c r="I36" i="51"/>
  <c r="K36" i="51" s="1"/>
  <c r="L36" i="51" s="1"/>
  <c r="I49" i="51"/>
  <c r="K49" i="51" s="1"/>
  <c r="L49" i="51" s="1"/>
  <c r="I50" i="51"/>
  <c r="K50" i="51" s="1"/>
  <c r="L50" i="51" s="1"/>
  <c r="I51" i="51"/>
  <c r="K51" i="51" s="1"/>
  <c r="L51" i="51" s="1"/>
  <c r="I52" i="51"/>
  <c r="K52" i="51" s="1"/>
  <c r="L52" i="51" s="1"/>
  <c r="I53" i="51"/>
  <c r="K53" i="51" s="1"/>
  <c r="L53" i="51" s="1"/>
  <c r="I54" i="51"/>
  <c r="K54" i="51" s="1"/>
  <c r="L54" i="51" s="1"/>
  <c r="I55" i="51"/>
  <c r="K55" i="51" s="1"/>
  <c r="L55" i="51" s="1"/>
  <c r="I56" i="51"/>
  <c r="K56" i="51" s="1"/>
  <c r="L56" i="51" s="1"/>
  <c r="I57" i="51"/>
  <c r="K57" i="51" s="1"/>
  <c r="L57" i="51" s="1"/>
  <c r="I58" i="51"/>
  <c r="K58" i="51" s="1"/>
  <c r="L58" i="51" s="1"/>
  <c r="I59" i="51"/>
  <c r="K59" i="51" s="1"/>
  <c r="L59" i="51" s="1"/>
  <c r="I60" i="51"/>
  <c r="K60" i="51" s="1"/>
  <c r="L60" i="51" s="1"/>
  <c r="I12" i="51"/>
  <c r="K12" i="51" s="1"/>
  <c r="L12" i="51" s="1"/>
  <c r="B1" i="79"/>
  <c r="B1" i="81"/>
  <c r="B1" i="83"/>
  <c r="B1" i="82"/>
  <c r="B1" i="51"/>
  <c r="B1" i="70" s="1"/>
  <c r="B1" i="42"/>
  <c r="M15" i="83"/>
  <c r="L15" i="83"/>
  <c r="J15" i="83"/>
  <c r="K20" i="82"/>
  <c r="J25" i="81"/>
  <c r="G24" i="81"/>
  <c r="J24" i="81"/>
  <c r="J22" i="81"/>
  <c r="G22" i="81"/>
  <c r="G21" i="81"/>
  <c r="J21" i="81"/>
  <c r="J20" i="81"/>
  <c r="G20" i="81"/>
  <c r="J19" i="81"/>
  <c r="J27" i="81"/>
  <c r="J1" i="81"/>
  <c r="G50" i="8"/>
  <c r="F50" i="8"/>
  <c r="F18" i="79" s="1"/>
  <c r="G18" i="79" s="1"/>
  <c r="O5" i="51"/>
  <c r="G21" i="79"/>
  <c r="J12" i="70"/>
  <c r="L12" i="70"/>
  <c r="L14" i="70"/>
  <c r="M13" i="42"/>
  <c r="L14" i="42"/>
  <c r="M14" i="42" s="1"/>
  <c r="L15" i="42"/>
  <c r="M15" i="42" s="1"/>
  <c r="L16" i="42"/>
  <c r="M16" i="42" s="1"/>
  <c r="L17" i="42"/>
  <c r="M17" i="42" s="1"/>
  <c r="J14" i="70"/>
  <c r="G20" i="79"/>
  <c r="M12" i="70"/>
  <c r="M14" i="70"/>
  <c r="J49" i="42" l="1"/>
  <c r="F19" i="79" s="1"/>
  <c r="G19" i="79" s="1"/>
  <c r="K63" i="51"/>
  <c r="I63" i="51"/>
  <c r="L63" i="51"/>
  <c r="L22" i="42"/>
  <c r="M22" i="42" s="1"/>
  <c r="G23" i="79"/>
  <c r="G25" i="79" s="1"/>
  <c r="H50" i="8"/>
  <c r="I50" i="8"/>
  <c r="M49" i="42"/>
  <c r="L49" i="42"/>
  <c r="L61" i="51"/>
  <c r="I61" i="51"/>
  <c r="K61" i="51"/>
  <c r="G26" i="79" l="1"/>
</calcChain>
</file>

<file path=xl/sharedStrings.xml><?xml version="1.0" encoding="utf-8"?>
<sst xmlns="http://schemas.openxmlformats.org/spreadsheetml/2006/main" count="456" uniqueCount="167">
  <si>
    <t>Date</t>
  </si>
  <si>
    <t>Devise</t>
  </si>
  <si>
    <t>Pays</t>
  </si>
  <si>
    <t>Nature</t>
  </si>
  <si>
    <t>N° facture</t>
  </si>
  <si>
    <t>Taux de
change</t>
  </si>
  <si>
    <t>N° de facture</t>
  </si>
  <si>
    <t>Clients</t>
  </si>
  <si>
    <t>Montant HTVA (Devise)</t>
  </si>
  <si>
    <t>Taux TVA</t>
  </si>
  <si>
    <t xml:space="preserve">Date </t>
  </si>
  <si>
    <t>Annexe x</t>
  </si>
  <si>
    <t>Total en EUR</t>
  </si>
  <si>
    <t>Montant HTVA (EUR)</t>
  </si>
  <si>
    <t>Montant 
TVA (EUR)</t>
  </si>
  <si>
    <t>Montant 
TTC (EUR)</t>
  </si>
  <si>
    <t>Détail des importations de biens</t>
  </si>
  <si>
    <t>Nature des biens</t>
  </si>
  <si>
    <t>Taux de TVA</t>
  </si>
  <si>
    <t>Montant TTC (EUR)</t>
  </si>
  <si>
    <t>Montant TVA (EUR)</t>
  </si>
  <si>
    <t>(A)</t>
  </si>
  <si>
    <t>(B)</t>
  </si>
  <si>
    <t>Fournisseurs</t>
  </si>
  <si>
    <t xml:space="preserve">cf. annexe </t>
  </si>
  <si>
    <t>Base imposable
HTVA</t>
  </si>
  <si>
    <t>Montant 
de TVA</t>
  </si>
  <si>
    <t>Prorata général de déduction de l'année XXXX</t>
  </si>
  <si>
    <t>(A) * (B)</t>
  </si>
  <si>
    <t>basé sur la dernière déclaration TVA annuelle déposée</t>
  </si>
  <si>
    <t>Détermination du montant de la taxe en amont déductible</t>
  </si>
  <si>
    <t>Calcul du montant de la taxe en amont déductible :</t>
  </si>
  <si>
    <t>Montant total de la taxe en amont_Biens/Services à l'intérieur du pays</t>
  </si>
  <si>
    <t>Montant total de la taxe en amont sur les acquisitions intracommunautaires de biens</t>
  </si>
  <si>
    <t>Montant total de la taxe en amont sur les importations</t>
  </si>
  <si>
    <t>Montant total de la taxe en amont_Taxe déclarée comme débiteur (art 17 § 1 b) )</t>
  </si>
  <si>
    <t>Total de la taxe en amont soumise au prorata général de déductibilité</t>
  </si>
  <si>
    <t>Total de la taxe en amont déductible suivant le prorata général de déduction</t>
  </si>
  <si>
    <t>Total de la taxe en amont non déductible</t>
  </si>
  <si>
    <t>EUR</t>
  </si>
  <si>
    <t>Annexe 1</t>
  </si>
  <si>
    <t>Annexe 2</t>
  </si>
  <si>
    <t>Annexe 3</t>
  </si>
  <si>
    <t>Annexe 5</t>
  </si>
  <si>
    <t xml:space="preserve">Détail de la TVA en amont sur les achats de biens et des services à Luxembourg </t>
  </si>
  <si>
    <t>Address</t>
  </si>
  <si>
    <t>Dossier</t>
  </si>
  <si>
    <t>Détail du chiffre d'affaires_Chiffre d'affaires taxable réalisé à Luxembourg ( ventes)</t>
  </si>
  <si>
    <t>Détail des acquisitions intracommunautaires de biens ou services</t>
  </si>
  <si>
    <t>Détail du chiffre d'affaires_Autres opérations réalisées à l'étranger</t>
  </si>
  <si>
    <t>Exportation : article 43/1/a e b)</t>
  </si>
  <si>
    <t>Autres opérations réalisées à l'étranger__Clients redevables situés en dehors de l'Union européenne</t>
  </si>
  <si>
    <t>N°facture</t>
  </si>
  <si>
    <t>Peres Service</t>
  </si>
  <si>
    <t>Marchandises</t>
  </si>
  <si>
    <t>CH</t>
  </si>
  <si>
    <t>ok</t>
  </si>
  <si>
    <t>Global Network Technologies sarl</t>
  </si>
  <si>
    <t>FLU2000024</t>
  </si>
  <si>
    <t>FLU2000045</t>
  </si>
  <si>
    <t>FLU2000038</t>
  </si>
  <si>
    <t>FLU2000041</t>
  </si>
  <si>
    <t>Mses, Mod.Lam Blom-X</t>
  </si>
  <si>
    <t>FLU2000009</t>
  </si>
  <si>
    <t>FLU2000017</t>
  </si>
  <si>
    <t>Prestations de services exonérées_Clients redevables situés en dehors de l'Union européenne</t>
  </si>
  <si>
    <t xml:space="preserve">Date paiement </t>
  </si>
  <si>
    <t>Emprunteurs</t>
  </si>
  <si>
    <t>Pays de l'emprunteur</t>
  </si>
  <si>
    <t>Montant HTVA  (Devise)</t>
  </si>
  <si>
    <t>Taux de change</t>
  </si>
  <si>
    <t>Autres opérations réalisées à l'étranger__Loyers taxés à l'étranger</t>
  </si>
  <si>
    <t xml:space="preserve">Nature </t>
  </si>
  <si>
    <t>Détail du chiffre d'affaires_Prestations de services à des identifiés à la TVA dans un autre Etat membre</t>
  </si>
  <si>
    <t>Prestations de services non exonérées dans l'Etat membre du preneur redevable</t>
  </si>
  <si>
    <t>N° de TVA</t>
  </si>
  <si>
    <t>Montant (Devise)</t>
  </si>
  <si>
    <t>Montant HTVA EUR</t>
  </si>
  <si>
    <t>Prestations de services exonérées dans l'Etat membre du preneur redevable</t>
  </si>
  <si>
    <t>Carla_________</t>
  </si>
  <si>
    <t>Chambre des Métiers</t>
  </si>
  <si>
    <t>ART/2025/177747</t>
  </si>
  <si>
    <t>Taxe carte d'affiliation</t>
  </si>
  <si>
    <t>Action</t>
  </si>
  <si>
    <t>Materiel</t>
  </si>
  <si>
    <t>C&amp;A</t>
  </si>
  <si>
    <t>320041/2025/4</t>
  </si>
  <si>
    <t>Vetement</t>
  </si>
  <si>
    <t>Zeemann</t>
  </si>
  <si>
    <t>Auchan Kirchberg</t>
  </si>
  <si>
    <t>381_2025_38672</t>
  </si>
  <si>
    <t>Ordinateur</t>
  </si>
  <si>
    <t>Den Bastelgeck</t>
  </si>
  <si>
    <t>Luminol</t>
  </si>
  <si>
    <t>Machine</t>
  </si>
  <si>
    <t>FR</t>
  </si>
  <si>
    <t>Matériel</t>
  </si>
  <si>
    <t>Sonia</t>
  </si>
  <si>
    <t>Fabrication objet</t>
  </si>
  <si>
    <t>Axel Terlicher</t>
  </si>
  <si>
    <t>Doris Brito</t>
  </si>
  <si>
    <t>Fernanda</t>
  </si>
  <si>
    <t>Marlene Dos Santos</t>
  </si>
  <si>
    <t>Claudia</t>
  </si>
  <si>
    <t>Maison Relais Useldange</t>
  </si>
  <si>
    <t>Batiself</t>
  </si>
  <si>
    <t>Tenue Complete</t>
  </si>
  <si>
    <t>#FA029457</t>
  </si>
  <si>
    <t>Força Temeraria LDA</t>
  </si>
  <si>
    <t>PT</t>
  </si>
  <si>
    <t>#FA029557</t>
  </si>
  <si>
    <t>Cleverbridge GmbH</t>
  </si>
  <si>
    <t>AKD-736118752288</t>
  </si>
  <si>
    <t>Abonnement logiciel</t>
  </si>
  <si>
    <t>DE</t>
  </si>
  <si>
    <t>Ana</t>
  </si>
  <si>
    <t>Commune Grosbous</t>
  </si>
  <si>
    <t>Coiffure Beim Anes</t>
  </si>
  <si>
    <t>Sandy</t>
  </si>
  <si>
    <t>Carina Gonçalves</t>
  </si>
  <si>
    <t>Chiara Lopes</t>
  </si>
  <si>
    <t>#FA029669</t>
  </si>
  <si>
    <t>Baumarkt Globus</t>
  </si>
  <si>
    <t>31/ 2673</t>
  </si>
  <si>
    <t>Ana Rita</t>
  </si>
  <si>
    <t>Marcio</t>
  </si>
  <si>
    <t>Ana Garcia</t>
  </si>
  <si>
    <t>Harilux</t>
  </si>
  <si>
    <t>07/07/205</t>
  </si>
  <si>
    <t>Restaurant Carpe Diem</t>
  </si>
  <si>
    <t>Déjeuner d'affaire</t>
  </si>
  <si>
    <t>Hornbach</t>
  </si>
  <si>
    <t>Printfabrik</t>
  </si>
  <si>
    <t>PF19320</t>
  </si>
  <si>
    <t>Carla Couto</t>
  </si>
  <si>
    <t>Tammy</t>
  </si>
  <si>
    <t>Carol Forte Alves</t>
  </si>
  <si>
    <t>Angela Lopes</t>
  </si>
  <si>
    <t>Plantète Gateau</t>
  </si>
  <si>
    <t>#FA603862</t>
  </si>
  <si>
    <t>PF19683</t>
  </si>
  <si>
    <t>#FA029880</t>
  </si>
  <si>
    <t>#FA029892</t>
  </si>
  <si>
    <t>#FA029939</t>
  </si>
  <si>
    <t>Carole Anne Forte</t>
  </si>
  <si>
    <t>APEGD</t>
  </si>
  <si>
    <t>Salon Boissenet Beggen</t>
  </si>
  <si>
    <t>Salon Boissenet Bereldange</t>
  </si>
  <si>
    <t>Giulia</t>
  </si>
  <si>
    <t>Vania Costa</t>
  </si>
  <si>
    <t>700038301-1</t>
  </si>
  <si>
    <t>Elisabette</t>
  </si>
  <si>
    <t>Sonia Manuel Salgado</t>
  </si>
  <si>
    <t>12/10/205</t>
  </si>
  <si>
    <t>Salon Beim Anes</t>
  </si>
  <si>
    <t>Beim Bäcker Jos SARL</t>
  </si>
  <si>
    <t>AVA Pommerloch</t>
  </si>
  <si>
    <t>#FA030009</t>
  </si>
  <si>
    <t>TEMU</t>
  </si>
  <si>
    <t>PO-114-173005700</t>
  </si>
  <si>
    <t>Paula Brites</t>
  </si>
  <si>
    <t>Hernani Andrade Ramos</t>
  </si>
  <si>
    <t>Pietro Scardamaglia</t>
  </si>
  <si>
    <t>Ana Silva</t>
  </si>
  <si>
    <t>Joffer Sandy</t>
  </si>
  <si>
    <t>Ana Costa</t>
  </si>
  <si>
    <t>Salon Boissenet et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</si>
</sst>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_€_-;\-* #,##0.00_€_-;_-* &quot;-&quot;??_€_-;_-@_-"/>
    <numFmt numFmtId="166" formatCode="_(* #,##0_);_(* \(#,##0\);_(* &quot;-&quot;_);_(@_)"/>
    <numFmt numFmtId="167" formatCode="_(* #,##0.00_);_(* \(#,##0.00\);_(* &quot;-&quot;??_);_(@_)"/>
    <numFmt numFmtId="168" formatCode="_(&quot;LUF&quot;\ * #,##0_);_(&quot;LUF&quot;\ * \(#,##0\);_(&quot;LUF&quot;\ * &quot;-&quot;_);_(@_)"/>
    <numFmt numFmtId="169" formatCode="_(&quot;LUF&quot;\ * #,##0.00_);_(&quot;LUF&quot;\ * \(#,##0.00\);_(&quot;LUF&quot;\ * &quot;-&quot;??_);_(@_)"/>
    <numFmt numFmtId="170" formatCode="General_)"/>
    <numFmt numFmtId="171" formatCode="####\ &quot;/&quot;\ ####\ &quot;/&quot;\ ###"/>
    <numFmt numFmtId="172" formatCode="####\ ####\ ##0"/>
    <numFmt numFmtId="173" formatCode="0.0000"/>
    <numFmt numFmtId="174" formatCode="dd/mm/yyyy;@"/>
    <numFmt numFmtId="175" formatCode="#,##0.0000"/>
    <numFmt numFmtId="176" formatCode="#,##0.00\ &quot;€&quot;"/>
    <numFmt numFmtId="177" formatCode="0.0000000"/>
    <numFmt numFmtId="178" formatCode="0.000"/>
    <numFmt numFmtId="179" formatCode="_(* #,##0_);_(* \(#,##0\);_(* &quot;-&quot;??_);_(@_)"/>
    <numFmt numFmtId="180" formatCode="_(* #,##0.00000_);_(* \(#,##0.00000\);_(* &quot;-&quot;??_);_(@_)"/>
    <numFmt numFmtId="181" formatCode="_ [$€-2]\ * #,##0.00_ ;_ [$€-2]\ * \-#,##0.00_ ;_ [$€-2]\ * &quot;-&quot;??_ "/>
    <numFmt numFmtId="182" formatCode="_ * #,##0.00_ ;_ * \-#,##0.00_ ;_ * &quot;-&quot;??_ ;_ @_ "/>
    <numFmt numFmtId="183" formatCode="#,##0\ [$€-1];[Red]\-#,##0\ [$€-1]"/>
    <numFmt numFmtId="184" formatCode="#,##0;\(#,##0\)"/>
    <numFmt numFmtId="185" formatCode="_-* #,##0.00000_-;\-* #,##0.00000_-;_-* &quot;-&quot;??_-;_-@_-"/>
    <numFmt numFmtId="186" formatCode="#,##0.0,_);[Red]\(#,##0.0,\);&quot;-  &quot;"/>
    <numFmt numFmtId="187" formatCode="#,##0;\-#,##0;&quot;-&quot;"/>
    <numFmt numFmtId="188" formatCode="#,##0.00;\-#,##0.00;&quot;-&quot;"/>
    <numFmt numFmtId="189" formatCode="#,##0%;\-#,##0%;&quot;- &quot;"/>
    <numFmt numFmtId="190" formatCode="#,##0.0%;\-#,##0.0%;&quot;- &quot;"/>
    <numFmt numFmtId="191" formatCode="#,##0.00%;\-#,##0.00%;&quot;- &quot;"/>
    <numFmt numFmtId="192" formatCode="#,##0.0;\-#,##0.0;&quot;-&quot;"/>
    <numFmt numFmtId="193" formatCode="\ \ @"/>
    <numFmt numFmtId="194" formatCode="\ \ \ \ @"/>
  </numFmts>
  <fonts count="89">
    <font>
      <sz val="10"/>
      <name val="Arial"/>
    </font>
    <font>
      <sz val="10"/>
      <name val="Arial"/>
    </font>
    <font>
      <sz val="11"/>
      <name val="Arial"/>
      <family val="2"/>
    </font>
    <font>
      <sz val="8"/>
      <name val="MS Sans Serif"/>
      <family val="2"/>
    </font>
    <font>
      <sz val="8"/>
      <name val="Helv"/>
    </font>
    <font>
      <sz val="10"/>
      <name val="Helv"/>
    </font>
    <font>
      <sz val="11"/>
      <name val="Helv"/>
    </font>
    <font>
      <sz val="11"/>
      <name val="MS Sans Serif"/>
      <family val="2"/>
    </font>
    <font>
      <b/>
      <sz val="11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name val="Arial"/>
      <family val="2"/>
    </font>
    <font>
      <sz val="10"/>
      <color indexed="8"/>
      <name val="Arial MT"/>
    </font>
    <font>
      <sz val="12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7"/>
      <name val="Small Fonts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u/>
      <sz val="10"/>
      <color indexed="14"/>
      <name val="MS Sans Serif"/>
      <family val="2"/>
    </font>
    <font>
      <b/>
      <sz val="16"/>
      <color indexed="9"/>
      <name val="Arial"/>
      <family val="2"/>
    </font>
    <font>
      <u/>
      <sz val="8.4"/>
      <color indexed="12"/>
      <name val="Arial"/>
      <family val="2"/>
    </font>
    <font>
      <b/>
      <sz val="9"/>
      <color indexed="9"/>
      <name val="Arial"/>
      <family val="2"/>
    </font>
    <font>
      <sz val="10"/>
      <color indexed="14"/>
      <name val="Arial"/>
      <family val="2"/>
    </font>
    <font>
      <sz val="12"/>
      <name val="Helv"/>
    </font>
    <font>
      <sz val="8"/>
      <color indexed="10"/>
      <name val="Arial Narrow"/>
      <family val="2"/>
    </font>
    <font>
      <sz val="10"/>
      <name val="Times New Roman"/>
      <family val="1"/>
    </font>
    <font>
      <u/>
      <sz val="10"/>
      <color indexed="12"/>
      <name val="Arial MT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2"/>
      <color indexed="8"/>
      <name val="Calibri"/>
      <family val="1"/>
      <charset val="136"/>
    </font>
    <font>
      <sz val="11"/>
      <name val="Arial Narrow"/>
      <family val="2"/>
    </font>
    <font>
      <u/>
      <sz val="10"/>
      <color indexed="12"/>
      <name val="Arial"/>
      <family val="2"/>
    </font>
    <font>
      <b/>
      <u/>
      <sz val="12"/>
      <name val="Arial"/>
      <family val="2"/>
    </font>
    <font>
      <sz val="12"/>
      <name val="MS Sans Serif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i/>
      <u/>
      <sz val="10"/>
      <name val="Arial"/>
      <family val="2"/>
    </font>
    <font>
      <u/>
      <sz val="12"/>
      <name val="Arial"/>
      <family val="2"/>
    </font>
    <font>
      <sz val="10"/>
      <name val="Arial"/>
    </font>
    <font>
      <i/>
      <u/>
      <sz val="11"/>
      <name val="Arial"/>
      <family val="2"/>
    </font>
    <font>
      <b/>
      <i/>
      <u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.5"/>
      <color theme="10"/>
      <name val="Arial"/>
      <family val="2"/>
    </font>
    <font>
      <sz val="11"/>
      <color indexed="19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i/>
      <u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u/>
      <sz val="11"/>
      <color rgb="FF0070C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65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62">
    <xf numFmtId="0" fontId="0" fillId="0" borderId="0"/>
    <xf numFmtId="0" fontId="11" fillId="2" borderId="0" applyNumberFormat="0" applyBorder="0" applyAlignment="0" applyProtection="0"/>
    <xf numFmtId="0" fontId="70" fillId="8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70" fillId="9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70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70" fillId="7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70" fillId="31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70" fillId="10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70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70" fillId="32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70" fillId="13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70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70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70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2" fillId="14" borderId="0" applyNumberFormat="0" applyBorder="0" applyAlignment="0" applyProtection="0"/>
    <xf numFmtId="0" fontId="71" fillId="6" borderId="0" applyNumberFormat="0" applyBorder="0" applyAlignment="0" applyProtection="0"/>
    <xf numFmtId="0" fontId="12" fillId="14" borderId="0" applyNumberFormat="0" applyBorder="0" applyAlignment="0" applyProtection="0"/>
    <xf numFmtId="0" fontId="12" fillId="9" borderId="0" applyNumberFormat="0" applyBorder="0" applyAlignment="0" applyProtection="0"/>
    <xf numFmtId="0" fontId="71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71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71" fillId="3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71" fillId="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71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71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71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71" fillId="12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71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71" fillId="33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71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3" borderId="0" applyNumberFormat="0" applyBorder="0" applyAlignment="0" applyProtection="0"/>
    <xf numFmtId="0" fontId="73" fillId="5" borderId="0" applyNumberFormat="0" applyBorder="0" applyAlignment="0" applyProtection="0"/>
    <xf numFmtId="0" fontId="13" fillId="3" borderId="0" applyNumberFormat="0" applyBorder="0" applyAlignment="0" applyProtection="0"/>
    <xf numFmtId="1" fontId="42" fillId="24" borderId="1">
      <alignment horizontal="center"/>
    </xf>
    <xf numFmtId="187" fontId="40" fillId="0" borderId="0" applyFill="0" applyBorder="0" applyAlignment="0"/>
    <xf numFmtId="188" fontId="40" fillId="0" borderId="0" applyFill="0" applyBorder="0" applyAlignment="0"/>
    <xf numFmtId="189" fontId="40" fillId="0" borderId="0" applyFill="0" applyBorder="0" applyAlignment="0"/>
    <xf numFmtId="190" fontId="40" fillId="0" borderId="0" applyFill="0" applyBorder="0" applyAlignment="0"/>
    <xf numFmtId="191" fontId="40" fillId="0" borderId="0" applyFill="0" applyBorder="0" applyAlignment="0"/>
    <xf numFmtId="187" fontId="40" fillId="0" borderId="0" applyFill="0" applyBorder="0" applyAlignment="0"/>
    <xf numFmtId="0" fontId="40" fillId="0" borderId="0" applyFill="0" applyBorder="0" applyAlignment="0"/>
    <xf numFmtId="192" fontId="40" fillId="0" borderId="0" applyFill="0" applyBorder="0" applyAlignment="0"/>
    <xf numFmtId="188" fontId="40" fillId="0" borderId="0" applyFill="0" applyBorder="0" applyAlignment="0"/>
    <xf numFmtId="0" fontId="14" fillId="25" borderId="2" applyNumberFormat="0" applyAlignment="0" applyProtection="0"/>
    <xf numFmtId="0" fontId="14" fillId="25" borderId="2" applyNumberFormat="0" applyAlignment="0" applyProtection="0"/>
    <xf numFmtId="0" fontId="74" fillId="26" borderId="53" applyNumberFormat="0" applyAlignment="0" applyProtection="0"/>
    <xf numFmtId="0" fontId="14" fillId="25" borderId="2" applyNumberFormat="0" applyAlignment="0" applyProtection="0"/>
    <xf numFmtId="0" fontId="21" fillId="0" borderId="3" applyNumberFormat="0" applyFill="0" applyAlignment="0" applyProtection="0"/>
    <xf numFmtId="0" fontId="15" fillId="27" borderId="4" applyNumberFormat="0" applyAlignment="0" applyProtection="0"/>
    <xf numFmtId="0" fontId="15" fillId="27" borderId="4" applyNumberFormat="0" applyAlignment="0" applyProtection="0"/>
    <xf numFmtId="0" fontId="75" fillId="34" borderId="54" applyNumberFormat="0" applyAlignment="0" applyProtection="0"/>
    <xf numFmtId="0" fontId="15" fillId="27" borderId="4" applyNumberFormat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38" fontId="36" fillId="0" borderId="0" applyFont="0" applyFill="0" applyBorder="0" applyAlignment="0" applyProtection="0"/>
    <xf numFmtId="187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43" fontId="35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50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50" fillId="0" borderId="0" applyFont="0" applyFill="0" applyBorder="0" applyAlignment="0" applyProtection="0"/>
    <xf numFmtId="40" fontId="36" fillId="0" borderId="0" applyFont="0" applyFill="0" applyBorder="0" applyAlignment="0" applyProtection="0"/>
    <xf numFmtId="164" fontId="9" fillId="0" borderId="0" applyFont="0" applyFill="0" applyBorder="0" applyAlignment="0" applyProtection="0"/>
    <xf numFmtId="40" fontId="36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4" fontId="5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0" fillId="0" borderId="0" applyFont="0" applyFill="0" applyBorder="0" applyAlignment="0" applyProtection="0"/>
    <xf numFmtId="40" fontId="3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36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4" fontId="56" fillId="0" borderId="0" applyFont="0" applyFill="0" applyBorder="0" applyAlignment="0" applyProtection="0">
      <alignment vertical="center"/>
    </xf>
    <xf numFmtId="167" fontId="9" fillId="0" borderId="0" applyFont="0" applyFill="0" applyBorder="0" applyAlignment="0" applyProtection="0"/>
    <xf numFmtId="184" fontId="56" fillId="0" borderId="0" applyFont="0" applyFill="0" applyBorder="0" applyAlignment="0" applyProtection="0">
      <alignment vertical="center"/>
    </xf>
    <xf numFmtId="182" fontId="70" fillId="0" borderId="0" applyFont="0" applyFill="0" applyBorder="0" applyAlignment="0" applyProtection="0"/>
    <xf numFmtId="167" fontId="9" fillId="0" borderId="0" applyFont="0" applyFill="0" applyBorder="0" applyAlignment="0" applyProtection="0"/>
    <xf numFmtId="182" fontId="70" fillId="0" borderId="0" applyFont="0" applyFill="0" applyBorder="0" applyAlignment="0" applyProtection="0"/>
    <xf numFmtId="167" fontId="9" fillId="0" borderId="0" applyFont="0" applyFill="0" applyBorder="0" applyAlignment="0" applyProtection="0"/>
    <xf numFmtId="184" fontId="56" fillId="0" borderId="0" applyFont="0" applyFill="0" applyBorder="0" applyAlignment="0" applyProtection="0">
      <alignment vertical="center"/>
    </xf>
    <xf numFmtId="184" fontId="56" fillId="0" borderId="0" applyFont="0" applyFill="0" applyBorder="0" applyAlignment="0" applyProtection="0">
      <alignment vertical="center"/>
    </xf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62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70" fillId="0" borderId="0" applyFont="0" applyFill="0" applyBorder="0" applyAlignment="0" applyProtection="0"/>
    <xf numFmtId="167" fontId="50" fillId="0" borderId="0" applyFont="0" applyFill="0" applyBorder="0" applyAlignment="0" applyProtection="0"/>
    <xf numFmtId="43" fontId="7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9" fillId="0" borderId="0" applyFont="0" applyFill="0" applyBorder="0" applyAlignment="0" applyProtection="0"/>
    <xf numFmtId="184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84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6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167" fontId="9" fillId="0" borderId="0" applyFont="0" applyFill="0" applyBorder="0" applyAlignment="0" applyProtection="0"/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167" fontId="9" fillId="0" borderId="0" applyFont="0" applyFill="0" applyBorder="0" applyAlignment="0" applyProtection="0"/>
    <xf numFmtId="182" fontId="35" fillId="0" borderId="0" applyFont="0" applyFill="0" applyBorder="0" applyAlignment="0" applyProtection="0"/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43" fontId="76" fillId="0" borderId="0" applyFont="0" applyFill="0" applyBorder="0" applyAlignment="0" applyProtection="0">
      <alignment vertical="center"/>
    </xf>
    <xf numFmtId="164" fontId="2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84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57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67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6" fillId="0" borderId="0" applyFont="0" applyFill="0" applyBorder="0" applyAlignment="0" applyProtection="0">
      <alignment vertical="center"/>
    </xf>
    <xf numFmtId="18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4" fontId="40" fillId="0" borderId="0" applyFill="0" applyBorder="0" applyAlignment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7" fontId="41" fillId="0" borderId="0" applyFill="0" applyBorder="0" applyAlignment="0"/>
    <xf numFmtId="188" fontId="41" fillId="0" borderId="0" applyFill="0" applyBorder="0" applyAlignment="0"/>
    <xf numFmtId="187" fontId="41" fillId="0" borderId="0" applyFill="0" applyBorder="0" applyAlignment="0"/>
    <xf numFmtId="0" fontId="41" fillId="0" borderId="0" applyFill="0" applyBorder="0" applyAlignment="0"/>
    <xf numFmtId="192" fontId="41" fillId="0" borderId="0" applyFill="0" applyBorder="0" applyAlignment="0"/>
    <xf numFmtId="188" fontId="41" fillId="0" borderId="0" applyFill="0" applyBorder="0" applyAlignment="0"/>
    <xf numFmtId="181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37" fontId="3" fillId="0" borderId="0"/>
    <xf numFmtId="0" fontId="17" fillId="4" borderId="0" applyNumberFormat="0" applyBorder="0" applyAlignment="0" applyProtection="0"/>
    <xf numFmtId="0" fontId="79" fillId="6" borderId="0" applyNumberFormat="0" applyBorder="0" applyAlignment="0" applyProtection="0"/>
    <xf numFmtId="0" fontId="17" fillId="4" borderId="0" applyNumberFormat="0" applyBorder="0" applyAlignment="0" applyProtection="0"/>
    <xf numFmtId="38" fontId="38" fillId="28" borderId="0" applyNumberFormat="0" applyBorder="0" applyAlignment="0" applyProtection="0"/>
    <xf numFmtId="0" fontId="34" fillId="0" borderId="5" applyNumberFormat="0" applyAlignment="0" applyProtection="0">
      <alignment horizontal="left" vertical="center"/>
    </xf>
    <xf numFmtId="0" fontId="34" fillId="0" borderId="1">
      <alignment horizontal="left" vertical="center"/>
    </xf>
    <xf numFmtId="0" fontId="18" fillId="0" borderId="6" applyNumberFormat="0" applyFill="0" applyAlignment="0" applyProtection="0"/>
    <xf numFmtId="0" fontId="52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8" applyNumberFormat="0" applyFill="0" applyAlignment="0" applyProtection="0"/>
    <xf numFmtId="0" fontId="53" fillId="0" borderId="9" applyNumberFormat="0" applyFill="0" applyAlignment="0" applyProtection="0"/>
    <xf numFmtId="0" fontId="19" fillId="0" borderId="8" applyNumberFormat="0" applyFill="0" applyAlignment="0" applyProtection="0"/>
    <xf numFmtId="0" fontId="20" fillId="0" borderId="10" applyNumberFormat="0" applyFill="0" applyAlignment="0" applyProtection="0"/>
    <xf numFmtId="0" fontId="54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" fontId="44" fillId="24" borderId="0" applyNumberFormat="0">
      <alignment horizontal="left"/>
    </xf>
    <xf numFmtId="0" fontId="45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10" fontId="38" fillId="29" borderId="12" applyNumberFormat="0" applyBorder="0" applyAlignment="0" applyProtection="0"/>
    <xf numFmtId="0" fontId="27" fillId="7" borderId="2" applyNumberFormat="0" applyAlignment="0" applyProtection="0"/>
    <xf numFmtId="0" fontId="77" fillId="13" borderId="53" applyNumberFormat="0" applyAlignment="0" applyProtection="0"/>
    <xf numFmtId="0" fontId="27" fillId="7" borderId="2" applyNumberFormat="0" applyAlignment="0" applyProtection="0"/>
    <xf numFmtId="0" fontId="27" fillId="7" borderId="2" applyNumberFormat="0" applyAlignment="0" applyProtection="0"/>
    <xf numFmtId="1" fontId="46" fillId="24" borderId="0">
      <alignment horizontal="center"/>
    </xf>
    <xf numFmtId="1" fontId="46" fillId="24" borderId="12">
      <alignment horizontal="left"/>
    </xf>
    <xf numFmtId="187" fontId="47" fillId="0" borderId="0" applyFill="0" applyBorder="0" applyAlignment="0"/>
    <xf numFmtId="188" fontId="47" fillId="0" borderId="0" applyFill="0" applyBorder="0" applyAlignment="0"/>
    <xf numFmtId="187" fontId="47" fillId="0" borderId="0" applyFill="0" applyBorder="0" applyAlignment="0"/>
    <xf numFmtId="0" fontId="47" fillId="0" borderId="0" applyFill="0" applyBorder="0" applyAlignment="0"/>
    <xf numFmtId="192" fontId="47" fillId="0" borderId="0" applyFill="0" applyBorder="0" applyAlignment="0"/>
    <xf numFmtId="188" fontId="47" fillId="0" borderId="0" applyFill="0" applyBorder="0" applyAlignment="0"/>
    <xf numFmtId="0" fontId="21" fillId="0" borderId="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1" fillId="0" borderId="3" applyNumberFormat="0" applyFill="0" applyAlignment="0" applyProtection="0"/>
    <xf numFmtId="166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67" fillId="0" borderId="0" applyFont="0" applyFill="0" applyBorder="0" applyAlignment="0" applyProtection="0"/>
    <xf numFmtId="0" fontId="38" fillId="0" borderId="12" applyNumberFormat="0" applyFont="0" applyBorder="0">
      <alignment horizontal="left" vertical="top" wrapText="1"/>
    </xf>
    <xf numFmtId="0" fontId="22" fillId="13" borderId="0" applyNumberFormat="0" applyBorder="0" applyAlignment="0" applyProtection="0"/>
    <xf numFmtId="0" fontId="81" fillId="3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37" fontId="39" fillId="0" borderId="0"/>
    <xf numFmtId="172" fontId="4" fillId="0" borderId="0" applyFont="0" applyFill="0" applyBorder="0" applyAlignment="0" applyProtection="0">
      <alignment horizontal="centerContinuous"/>
      <protection locked="0"/>
    </xf>
    <xf numFmtId="185" fontId="35" fillId="0" borderId="0"/>
    <xf numFmtId="179" fontId="9" fillId="0" borderId="0"/>
    <xf numFmtId="0" fontId="70" fillId="0" borderId="0"/>
    <xf numFmtId="0" fontId="70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0"/>
    <xf numFmtId="0" fontId="70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6" fillId="0" borderId="0"/>
    <xf numFmtId="0" fontId="36" fillId="0" borderId="0"/>
    <xf numFmtId="0" fontId="9" fillId="0" borderId="0"/>
    <xf numFmtId="0" fontId="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9" fillId="0" borderId="0"/>
    <xf numFmtId="0" fontId="9" fillId="0" borderId="0"/>
    <xf numFmtId="0" fontId="9" fillId="0" borderId="0"/>
    <xf numFmtId="0" fontId="70" fillId="0" borderId="0"/>
    <xf numFmtId="0" fontId="70" fillId="0" borderId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/>
    <xf numFmtId="0" fontId="70" fillId="0" borderId="0"/>
    <xf numFmtId="0" fontId="40" fillId="0" borderId="0" applyNumberFormat="0" applyFill="0" applyBorder="0" applyAlignment="0" applyProtection="0"/>
    <xf numFmtId="0" fontId="70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0"/>
    <xf numFmtId="0" fontId="40" fillId="0" borderId="0" applyNumberFormat="0" applyFill="0" applyBorder="0" applyAlignment="0" applyProtection="0"/>
    <xf numFmtId="0" fontId="7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0" fillId="0" borderId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6" fillId="0" borderId="0">
      <alignment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6" fillId="0" borderId="0">
      <alignment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36" fillId="0" borderId="0"/>
    <xf numFmtId="0" fontId="36" fillId="0" borderId="0"/>
    <xf numFmtId="0" fontId="70" fillId="0" borderId="0"/>
    <xf numFmtId="0" fontId="9" fillId="0" borderId="0"/>
    <xf numFmtId="0" fontId="9" fillId="0" borderId="0"/>
    <xf numFmtId="0" fontId="36" fillId="0" borderId="0"/>
    <xf numFmtId="0" fontId="36" fillId="0" borderId="0"/>
    <xf numFmtId="0" fontId="36" fillId="0" borderId="0"/>
    <xf numFmtId="0" fontId="76" fillId="0" borderId="0">
      <alignment vertical="center"/>
    </xf>
    <xf numFmtId="0" fontId="9" fillId="0" borderId="0"/>
    <xf numFmtId="0" fontId="36" fillId="0" borderId="0"/>
    <xf numFmtId="0" fontId="36" fillId="0" borderId="0"/>
    <xf numFmtId="0" fontId="9" fillId="0" borderId="0"/>
    <xf numFmtId="0" fontId="76" fillId="0" borderId="0">
      <alignment vertical="center"/>
    </xf>
    <xf numFmtId="0" fontId="70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6" fillId="0" borderId="0"/>
    <xf numFmtId="0" fontId="36" fillId="0" borderId="0"/>
    <xf numFmtId="0" fontId="70" fillId="0" borderId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0"/>
    <xf numFmtId="0" fontId="9" fillId="0" borderId="0"/>
    <xf numFmtId="0" fontId="40" fillId="0" borderId="0" applyNumberFormat="0" applyFill="0" applyBorder="0" applyAlignment="0" applyProtection="0"/>
    <xf numFmtId="0" fontId="36" fillId="0" borderId="0"/>
    <xf numFmtId="0" fontId="40" fillId="0" borderId="0" applyNumberFormat="0" applyFill="0" applyBorder="0" applyAlignment="0" applyProtection="0"/>
    <xf numFmtId="183" fontId="9" fillId="0" borderId="0"/>
    <xf numFmtId="0" fontId="70" fillId="0" borderId="0"/>
    <xf numFmtId="0" fontId="36" fillId="0" borderId="0"/>
    <xf numFmtId="0" fontId="36" fillId="0" borderId="0"/>
    <xf numFmtId="183" fontId="9" fillId="0" borderId="0"/>
    <xf numFmtId="0" fontId="70" fillId="0" borderId="0"/>
    <xf numFmtId="0" fontId="70" fillId="0" borderId="0"/>
    <xf numFmtId="183" fontId="9" fillId="0" borderId="0"/>
    <xf numFmtId="183" fontId="9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40" fillId="0" borderId="0" applyNumberFormat="0" applyFill="0" applyBorder="0" applyAlignment="0" applyProtection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/>
    <xf numFmtId="0" fontId="36" fillId="0" borderId="0"/>
    <xf numFmtId="0" fontId="36" fillId="0" borderId="0"/>
    <xf numFmtId="0" fontId="76" fillId="0" borderId="0">
      <alignment vertical="center"/>
    </xf>
    <xf numFmtId="0" fontId="40" fillId="0" borderId="0" applyNumberFormat="0" applyFill="0" applyBorder="0" applyAlignment="0" applyProtection="0"/>
    <xf numFmtId="0" fontId="36" fillId="0" borderId="0"/>
    <xf numFmtId="0" fontId="70" fillId="0" borderId="0"/>
    <xf numFmtId="0" fontId="36" fillId="0" borderId="0"/>
    <xf numFmtId="0" fontId="57" fillId="0" borderId="0"/>
    <xf numFmtId="0" fontId="9" fillId="0" borderId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0" borderId="0" applyNumberFormat="0" applyFill="0" applyBorder="0" applyAlignment="0" applyProtection="0"/>
    <xf numFmtId="0" fontId="35" fillId="0" borderId="0"/>
    <xf numFmtId="0" fontId="35" fillId="0" borderId="0"/>
    <xf numFmtId="0" fontId="36" fillId="0" borderId="0"/>
    <xf numFmtId="0" fontId="40" fillId="0" borderId="0" applyNumberFormat="0" applyFill="0" applyBorder="0" applyAlignment="0" applyProtection="0"/>
    <xf numFmtId="0" fontId="9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6" fillId="0" borderId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0" borderId="0" applyNumberFormat="0" applyFill="0" applyBorder="0" applyAlignment="0" applyProtection="0"/>
    <xf numFmtId="0" fontId="9" fillId="0" borderId="0"/>
    <xf numFmtId="0" fontId="9" fillId="0" borderId="0"/>
    <xf numFmtId="0" fontId="36" fillId="0" borderId="0"/>
    <xf numFmtId="0" fontId="3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36" fillId="0" borderId="0"/>
    <xf numFmtId="0" fontId="36" fillId="0" borderId="0"/>
    <xf numFmtId="0" fontId="76" fillId="0" borderId="0">
      <alignment vertical="center"/>
    </xf>
    <xf numFmtId="0" fontId="76" fillId="0" borderId="0">
      <alignment vertical="center"/>
    </xf>
    <xf numFmtId="0" fontId="70" fillId="0" borderId="0"/>
    <xf numFmtId="0" fontId="70" fillId="0" borderId="0"/>
    <xf numFmtId="0" fontId="40" fillId="0" borderId="0" applyNumberFormat="0" applyFill="0" applyBorder="0" applyAlignment="0" applyProtection="0"/>
    <xf numFmtId="0" fontId="76" fillId="0" borderId="0">
      <alignment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0"/>
    <xf numFmtId="0" fontId="70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2" fillId="0" borderId="0"/>
    <xf numFmtId="37" fontId="6" fillId="0" borderId="0"/>
    <xf numFmtId="170" fontId="5" fillId="0" borderId="0"/>
    <xf numFmtId="0" fontId="9" fillId="10" borderId="14" applyNumberFormat="0" applyFont="0" applyAlignment="0" applyProtection="0"/>
    <xf numFmtId="0" fontId="9" fillId="10" borderId="14" applyNumberFormat="0" applyFont="0" applyAlignment="0" applyProtection="0"/>
    <xf numFmtId="0" fontId="9" fillId="10" borderId="14" applyNumberFormat="0" applyFont="0" applyAlignment="0" applyProtection="0"/>
    <xf numFmtId="0" fontId="9" fillId="10" borderId="14" applyNumberFormat="0" applyFont="0" applyAlignment="0" applyProtection="0"/>
    <xf numFmtId="0" fontId="9" fillId="10" borderId="14" applyNumberFormat="0" applyFont="0" applyAlignment="0" applyProtection="0"/>
    <xf numFmtId="0" fontId="11" fillId="36" borderId="55" applyNumberFormat="0" applyFont="0" applyAlignment="0" applyProtection="0"/>
    <xf numFmtId="0" fontId="11" fillId="36" borderId="55" applyNumberFormat="0" applyFont="0" applyAlignment="0" applyProtection="0"/>
    <xf numFmtId="0" fontId="9" fillId="10" borderId="14" applyNumberFormat="0" applyFon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25" borderId="15" applyNumberFormat="0" applyAlignment="0" applyProtection="0"/>
    <xf numFmtId="0" fontId="82" fillId="26" borderId="56" applyNumberFormat="0" applyAlignment="0" applyProtection="0"/>
    <xf numFmtId="0" fontId="28" fillId="25" borderId="15" applyNumberFormat="0" applyAlignment="0" applyProtection="0"/>
    <xf numFmtId="19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187" fontId="37" fillId="0" borderId="0" applyFill="0" applyBorder="0" applyAlignment="0"/>
    <xf numFmtId="188" fontId="37" fillId="0" borderId="0" applyFill="0" applyBorder="0" applyAlignment="0"/>
    <xf numFmtId="187" fontId="37" fillId="0" borderId="0" applyFill="0" applyBorder="0" applyAlignment="0"/>
    <xf numFmtId="0" fontId="37" fillId="0" borderId="0" applyFill="0" applyBorder="0" applyAlignment="0"/>
    <xf numFmtId="192" fontId="37" fillId="0" borderId="0" applyFill="0" applyBorder="0" applyAlignment="0"/>
    <xf numFmtId="188" fontId="37" fillId="0" borderId="0" applyFill="0" applyBorder="0" applyAlignment="0"/>
    <xf numFmtId="0" fontId="48" fillId="0" borderId="0"/>
    <xf numFmtId="0" fontId="32" fillId="0" borderId="0" applyNumberFormat="0" applyFont="0" applyFill="0" applyBorder="0" applyAlignment="0" applyProtection="0">
      <alignment horizontal="left"/>
    </xf>
    <xf numFmtId="0" fontId="33" fillId="0" borderId="16">
      <alignment horizontal="center"/>
    </xf>
    <xf numFmtId="4" fontId="34" fillId="13" borderId="17" applyNumberFormat="0" applyProtection="0">
      <alignment horizontal="left" vertical="center" indent="1"/>
    </xf>
    <xf numFmtId="0" fontId="83" fillId="0" borderId="0"/>
    <xf numFmtId="0" fontId="70" fillId="0" borderId="0"/>
    <xf numFmtId="0" fontId="36" fillId="0" borderId="0"/>
    <xf numFmtId="0" fontId="2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49" fontId="40" fillId="0" borderId="0" applyFill="0" applyBorder="0" applyAlignment="0"/>
    <xf numFmtId="0" fontId="40" fillId="0" borderId="0" applyFill="0" applyBorder="0" applyAlignment="0"/>
    <xf numFmtId="193" fontId="40" fillId="0" borderId="0" applyFill="0" applyBorder="0" applyAlignment="0"/>
    <xf numFmtId="0" fontId="40" fillId="0" borderId="0" applyFill="0" applyBorder="0" applyAlignment="0"/>
    <xf numFmtId="194" fontId="40" fillId="0" borderId="0" applyFill="0" applyBorder="0" applyAlignment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8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4" fillId="0" borderId="18" applyNumberFormat="0" applyFill="0" applyAlignment="0" applyProtection="0"/>
    <xf numFmtId="0" fontId="84" fillId="0" borderId="19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180" fontId="36" fillId="0" borderId="0" applyFont="0" applyFill="0" applyBorder="0" applyAlignment="0" applyProtection="0"/>
    <xf numFmtId="186" fontId="36" fillId="0" borderId="0" applyFont="0" applyFill="0" applyBorder="0" applyAlignment="0" applyProtection="0"/>
    <xf numFmtId="0" fontId="49" fillId="0" borderId="0">
      <alignment vertical="top"/>
    </xf>
    <xf numFmtId="0" fontId="13" fillId="3" borderId="0" applyNumberFormat="0" applyBorder="0" applyAlignment="0" applyProtection="0"/>
    <xf numFmtId="0" fontId="17" fillId="4" borderId="0" applyNumberFormat="0" applyBorder="0" applyAlignment="0" applyProtection="0"/>
    <xf numFmtId="16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318">
    <xf numFmtId="0" fontId="0" fillId="0" borderId="0" xfId="0"/>
    <xf numFmtId="0" fontId="7" fillId="37" borderId="0" xfId="0" applyFont="1" applyFill="1"/>
    <xf numFmtId="37" fontId="7" fillId="37" borderId="0" xfId="649" applyNumberFormat="1" applyFont="1" applyFill="1" applyAlignment="1">
      <alignment horizontal="left"/>
    </xf>
    <xf numFmtId="37" fontId="8" fillId="37" borderId="0" xfId="649" applyNumberFormat="1" applyFont="1" applyFill="1"/>
    <xf numFmtId="170" fontId="7" fillId="37" borderId="0" xfId="649" applyFont="1" applyFill="1"/>
    <xf numFmtId="170" fontId="7" fillId="37" borderId="0" xfId="649" applyFont="1" applyFill="1" applyAlignment="1">
      <alignment horizontal="center"/>
    </xf>
    <xf numFmtId="37" fontId="7" fillId="37" borderId="0" xfId="649" applyNumberFormat="1" applyFont="1" applyFill="1" applyAlignment="1">
      <alignment horizontal="center"/>
    </xf>
    <xf numFmtId="37" fontId="8" fillId="37" borderId="0" xfId="649" applyNumberFormat="1" applyFont="1" applyFill="1" applyAlignment="1">
      <alignment horizontal="right"/>
    </xf>
    <xf numFmtId="37" fontId="7" fillId="37" borderId="0" xfId="649" applyNumberFormat="1" applyFont="1" applyFill="1"/>
    <xf numFmtId="170" fontId="7" fillId="37" borderId="0" xfId="649" applyFont="1" applyFill="1" applyAlignment="1">
      <alignment horizontal="right"/>
    </xf>
    <xf numFmtId="0" fontId="7" fillId="37" borderId="0" xfId="0" applyFont="1" applyFill="1" applyAlignment="1">
      <alignment vertical="center"/>
    </xf>
    <xf numFmtId="0" fontId="29" fillId="37" borderId="0" xfId="647" applyFont="1" applyFill="1"/>
    <xf numFmtId="0" fontId="2" fillId="30" borderId="0" xfId="0" applyFont="1" applyFill="1"/>
    <xf numFmtId="0" fontId="2" fillId="37" borderId="0" xfId="0" applyFont="1" applyFill="1" applyAlignment="1">
      <alignment horizontal="center"/>
    </xf>
    <xf numFmtId="0" fontId="2" fillId="37" borderId="0" xfId="0" applyFont="1" applyFill="1"/>
    <xf numFmtId="170" fontId="29" fillId="37" borderId="0" xfId="649" applyFont="1" applyFill="1" applyAlignment="1">
      <alignment horizontal="center"/>
    </xf>
    <xf numFmtId="170" fontId="29" fillId="37" borderId="20" xfId="649" applyFont="1" applyFill="1" applyBorder="1" applyAlignment="1">
      <alignment horizontal="center" vertical="center" wrapText="1"/>
    </xf>
    <xf numFmtId="170" fontId="29" fillId="37" borderId="21" xfId="649" applyFont="1" applyFill="1" applyBorder="1" applyAlignment="1">
      <alignment horizontal="center" vertical="center" wrapText="1"/>
    </xf>
    <xf numFmtId="170" fontId="29" fillId="37" borderId="22" xfId="649" applyFont="1" applyFill="1" applyBorder="1" applyAlignment="1">
      <alignment horizontal="center" vertical="center" wrapText="1"/>
    </xf>
    <xf numFmtId="170" fontId="2" fillId="37" borderId="0" xfId="649" applyFont="1" applyFill="1"/>
    <xf numFmtId="170" fontId="29" fillId="37" borderId="0" xfId="649" quotePrefix="1" applyFont="1" applyFill="1" applyAlignment="1">
      <alignment horizontal="right"/>
    </xf>
    <xf numFmtId="167" fontId="2" fillId="37" borderId="0" xfId="349" applyFont="1" applyFill="1"/>
    <xf numFmtId="171" fontId="29" fillId="37" borderId="0" xfId="648" applyNumberFormat="1" applyFont="1" applyFill="1" applyAlignment="1">
      <alignment horizontal="left"/>
    </xf>
    <xf numFmtId="167" fontId="2" fillId="37" borderId="0" xfId="349" applyFont="1" applyFill="1" applyAlignment="1">
      <alignment horizontal="center"/>
    </xf>
    <xf numFmtId="37" fontId="29" fillId="37" borderId="0" xfId="649" quotePrefix="1" applyNumberFormat="1" applyFont="1" applyFill="1" applyAlignment="1">
      <alignment horizontal="right"/>
    </xf>
    <xf numFmtId="37" fontId="29" fillId="37" borderId="0" xfId="649" quotePrefix="1" applyNumberFormat="1" applyFont="1" applyFill="1" applyAlignment="1">
      <alignment horizontal="center"/>
    </xf>
    <xf numFmtId="37" fontId="2" fillId="37" borderId="0" xfId="649" applyNumberFormat="1" applyFont="1" applyFill="1" applyAlignment="1">
      <alignment horizontal="center"/>
    </xf>
    <xf numFmtId="0" fontId="29" fillId="37" borderId="12" xfId="0" applyFont="1" applyFill="1" applyBorder="1" applyAlignment="1">
      <alignment horizontal="center" vertical="center" wrapText="1"/>
    </xf>
    <xf numFmtId="0" fontId="29" fillId="37" borderId="12" xfId="0" applyFont="1" applyFill="1" applyBorder="1" applyAlignment="1">
      <alignment horizontal="center" vertical="center"/>
    </xf>
    <xf numFmtId="167" fontId="29" fillId="37" borderId="12" xfId="349" applyFont="1" applyFill="1" applyBorder="1" applyAlignment="1">
      <alignment horizontal="center" vertical="center" wrapText="1"/>
    </xf>
    <xf numFmtId="0" fontId="29" fillId="37" borderId="0" xfId="0" applyFont="1" applyFill="1"/>
    <xf numFmtId="170" fontId="29" fillId="37" borderId="0" xfId="649" applyFont="1" applyFill="1" applyAlignment="1">
      <alignment horizontal="left"/>
    </xf>
    <xf numFmtId="170" fontId="2" fillId="37" borderId="0" xfId="649" applyFont="1" applyFill="1" applyAlignment="1">
      <alignment horizontal="centerContinuous"/>
    </xf>
    <xf numFmtId="170" fontId="30" fillId="37" borderId="0" xfId="649" quotePrefix="1" applyFont="1" applyFill="1" applyAlignment="1">
      <alignment horizontal="centerContinuous"/>
    </xf>
    <xf numFmtId="170" fontId="29" fillId="37" borderId="0" xfId="649" applyFont="1" applyFill="1"/>
    <xf numFmtId="170" fontId="29" fillId="37" borderId="24" xfId="649" applyFont="1" applyFill="1" applyBorder="1" applyAlignment="1">
      <alignment horizontal="center" vertical="center" wrapText="1"/>
    </xf>
    <xf numFmtId="170" fontId="2" fillId="37" borderId="0" xfId="649" applyFont="1" applyFill="1" applyAlignment="1">
      <alignment horizontal="center"/>
    </xf>
    <xf numFmtId="0" fontId="2" fillId="37" borderId="0" xfId="0" applyFont="1" applyFill="1" applyAlignment="1">
      <alignment horizontal="center" vertical="center"/>
    </xf>
    <xf numFmtId="170" fontId="2" fillId="0" borderId="0" xfId="649" applyFont="1"/>
    <xf numFmtId="170" fontId="2" fillId="0" borderId="0" xfId="649" applyFont="1" applyAlignment="1">
      <alignment horizontal="center"/>
    </xf>
    <xf numFmtId="171" fontId="29" fillId="0" borderId="0" xfId="648" applyNumberFormat="1" applyFont="1" applyAlignment="1">
      <alignment horizontal="left"/>
    </xf>
    <xf numFmtId="170" fontId="29" fillId="0" borderId="0" xfId="649" applyFont="1" applyAlignment="1">
      <alignment horizontal="left"/>
    </xf>
    <xf numFmtId="170" fontId="30" fillId="0" borderId="0" xfId="649" quotePrefix="1" applyFont="1" applyAlignment="1">
      <alignment horizontal="centerContinuous"/>
    </xf>
    <xf numFmtId="170" fontId="31" fillId="0" borderId="0" xfId="649" applyFont="1" applyAlignment="1">
      <alignment horizontal="center"/>
    </xf>
    <xf numFmtId="37" fontId="29" fillId="0" borderId="0" xfId="649" quotePrefix="1" applyNumberFormat="1" applyFont="1" applyAlignment="1">
      <alignment horizontal="center"/>
    </xf>
    <xf numFmtId="176" fontId="2" fillId="37" borderId="0" xfId="0" applyNumberFormat="1" applyFont="1" applyFill="1"/>
    <xf numFmtId="170" fontId="29" fillId="0" borderId="0" xfId="649" applyFont="1"/>
    <xf numFmtId="170" fontId="29" fillId="0" borderId="0" xfId="649" applyFont="1" applyAlignment="1">
      <alignment horizontal="center"/>
    </xf>
    <xf numFmtId="0" fontId="2" fillId="37" borderId="0" xfId="0" applyFont="1" applyFill="1" applyAlignment="1">
      <alignment horizontal="center" vertical="center" wrapText="1"/>
    </xf>
    <xf numFmtId="0" fontId="0" fillId="37" borderId="0" xfId="0" applyFill="1"/>
    <xf numFmtId="0" fontId="0" fillId="37" borderId="0" xfId="0" applyFill="1" applyAlignment="1">
      <alignment wrapText="1"/>
    </xf>
    <xf numFmtId="170" fontId="8" fillId="37" borderId="0" xfId="649" applyFont="1" applyFill="1" applyAlignment="1">
      <alignment horizontal="center" vertical="center" wrapText="1"/>
    </xf>
    <xf numFmtId="37" fontId="2" fillId="37" borderId="0" xfId="649" applyNumberFormat="1" applyFont="1" applyFill="1" applyAlignment="1">
      <alignment horizontal="left"/>
    </xf>
    <xf numFmtId="37" fontId="29" fillId="37" borderId="0" xfId="649" applyNumberFormat="1" applyFont="1" applyFill="1"/>
    <xf numFmtId="37" fontId="29" fillId="37" borderId="0" xfId="649" applyNumberFormat="1" applyFont="1" applyFill="1" applyAlignment="1">
      <alignment horizontal="right"/>
    </xf>
    <xf numFmtId="170" fontId="30" fillId="37" borderId="0" xfId="649" applyFont="1" applyFill="1" applyAlignment="1">
      <alignment horizontal="right" vertical="center"/>
    </xf>
    <xf numFmtId="170" fontId="2" fillId="37" borderId="0" xfId="649" applyFont="1" applyFill="1" applyAlignment="1">
      <alignment vertical="center"/>
    </xf>
    <xf numFmtId="167" fontId="2" fillId="37" borderId="0" xfId="149" applyFont="1" applyFill="1" applyAlignment="1">
      <alignment vertical="center"/>
    </xf>
    <xf numFmtId="9" fontId="29" fillId="37" borderId="0" xfId="679" applyFont="1" applyFill="1" applyAlignment="1">
      <alignment vertical="center"/>
    </xf>
    <xf numFmtId="170" fontId="30" fillId="37" borderId="0" xfId="649" applyFont="1" applyFill="1" applyAlignment="1">
      <alignment vertical="center"/>
    </xf>
    <xf numFmtId="167" fontId="29" fillId="37" borderId="0" xfId="149" applyFont="1" applyFill="1" applyAlignment="1">
      <alignment vertical="center"/>
    </xf>
    <xf numFmtId="37" fontId="29" fillId="37" borderId="0" xfId="648" applyFont="1" applyFill="1" applyAlignment="1">
      <alignment horizontal="left"/>
    </xf>
    <xf numFmtId="37" fontId="29" fillId="37" borderId="0" xfId="648" applyFont="1" applyFill="1"/>
    <xf numFmtId="0" fontId="2" fillId="37" borderId="0" xfId="399" applyFont="1" applyFill="1"/>
    <xf numFmtId="167" fontId="2" fillId="37" borderId="0" xfId="149" applyFont="1" applyFill="1" applyBorder="1" applyAlignment="1">
      <alignment vertical="center"/>
    </xf>
    <xf numFmtId="170" fontId="30" fillId="37" borderId="0" xfId="649" applyFont="1" applyFill="1" applyAlignment="1">
      <alignment horizontal="center" vertical="center"/>
    </xf>
    <xf numFmtId="0" fontId="36" fillId="37" borderId="0" xfId="0" applyFont="1" applyFill="1"/>
    <xf numFmtId="0" fontId="36" fillId="37" borderId="0" xfId="0" applyFont="1" applyFill="1" applyAlignment="1">
      <alignment horizontal="center" vertical="center"/>
    </xf>
    <xf numFmtId="170" fontId="36" fillId="37" borderId="0" xfId="649" applyFont="1" applyFill="1" applyAlignment="1">
      <alignment horizontal="centerContinuous"/>
    </xf>
    <xf numFmtId="170" fontId="36" fillId="37" borderId="0" xfId="649" applyFont="1" applyFill="1" applyAlignment="1">
      <alignment horizontal="center"/>
    </xf>
    <xf numFmtId="170" fontId="36" fillId="37" borderId="0" xfId="649" applyFont="1" applyFill="1"/>
    <xf numFmtId="170" fontId="36" fillId="0" borderId="0" xfId="649" applyFont="1"/>
    <xf numFmtId="170" fontId="34" fillId="0" borderId="0" xfId="649" applyFont="1" applyAlignment="1">
      <alignment horizontal="left"/>
    </xf>
    <xf numFmtId="170" fontId="34" fillId="37" borderId="0" xfId="649" applyFont="1" applyFill="1" applyAlignment="1">
      <alignment horizontal="left"/>
    </xf>
    <xf numFmtId="170" fontId="36" fillId="0" borderId="0" xfId="649" applyFont="1" applyAlignment="1">
      <alignment horizontal="center"/>
    </xf>
    <xf numFmtId="167" fontId="29" fillId="38" borderId="25" xfId="349" applyFont="1" applyFill="1" applyBorder="1"/>
    <xf numFmtId="170" fontId="59" fillId="37" borderId="0" xfId="649" quotePrefix="1" applyFont="1" applyFill="1" applyAlignment="1">
      <alignment horizontal="centerContinuous"/>
    </xf>
    <xf numFmtId="170" fontId="60" fillId="37" borderId="0" xfId="649" applyFont="1" applyFill="1"/>
    <xf numFmtId="165" fontId="2" fillId="37" borderId="0" xfId="0" applyNumberFormat="1" applyFont="1" applyFill="1"/>
    <xf numFmtId="170" fontId="36" fillId="37" borderId="0" xfId="649" applyFont="1" applyFill="1" applyAlignment="1">
      <alignment horizontal="centerContinuous" vertical="center"/>
    </xf>
    <xf numFmtId="170" fontId="59" fillId="37" borderId="0" xfId="649" applyFont="1" applyFill="1" applyAlignment="1">
      <alignment horizontal="center" vertical="center"/>
    </xf>
    <xf numFmtId="37" fontId="61" fillId="37" borderId="0" xfId="648" applyFont="1" applyFill="1"/>
    <xf numFmtId="9" fontId="34" fillId="39" borderId="26" xfId="649" applyNumberFormat="1" applyFont="1" applyFill="1" applyBorder="1" applyAlignment="1">
      <alignment horizontal="center" vertical="center"/>
    </xf>
    <xf numFmtId="167" fontId="29" fillId="39" borderId="26" xfId="149" applyFont="1" applyFill="1" applyBorder="1" applyAlignment="1">
      <alignment vertical="center"/>
    </xf>
    <xf numFmtId="170" fontId="29" fillId="37" borderId="0" xfId="649" applyFont="1" applyFill="1" applyAlignment="1">
      <alignment horizontal="left" vertical="center"/>
    </xf>
    <xf numFmtId="165" fontId="29" fillId="37" borderId="0" xfId="0" applyNumberFormat="1" applyFont="1" applyFill="1"/>
    <xf numFmtId="165" fontId="29" fillId="38" borderId="26" xfId="0" applyNumberFormat="1" applyFont="1" applyFill="1" applyBorder="1"/>
    <xf numFmtId="9" fontId="2" fillId="37" borderId="0" xfId="815" applyFont="1" applyFill="1"/>
    <xf numFmtId="170" fontId="29" fillId="37" borderId="0" xfId="649" applyFont="1" applyFill="1" applyAlignment="1">
      <alignment vertical="center"/>
    </xf>
    <xf numFmtId="167" fontId="9" fillId="37" borderId="0" xfId="349" applyFont="1" applyFill="1"/>
    <xf numFmtId="170" fontId="32" fillId="37" borderId="0" xfId="649" applyFont="1" applyFill="1"/>
    <xf numFmtId="0" fontId="9" fillId="37" borderId="0" xfId="0" applyFont="1" applyFill="1"/>
    <xf numFmtId="0" fontId="32" fillId="37" borderId="0" xfId="0" applyFont="1" applyFill="1"/>
    <xf numFmtId="170" fontId="32" fillId="37" borderId="0" xfId="649" applyFont="1" applyFill="1" applyAlignment="1">
      <alignment horizontal="center"/>
    </xf>
    <xf numFmtId="37" fontId="63" fillId="37" borderId="0" xfId="649" quotePrefix="1" applyNumberFormat="1" applyFont="1" applyFill="1" applyAlignment="1">
      <alignment horizontal="right"/>
    </xf>
    <xf numFmtId="37" fontId="63" fillId="37" borderId="0" xfId="649" quotePrefix="1" applyNumberFormat="1" applyFont="1" applyFill="1" applyAlignment="1">
      <alignment horizontal="center"/>
    </xf>
    <xf numFmtId="167" fontId="63" fillId="37" borderId="0" xfId="349" applyFont="1" applyFill="1" applyBorder="1" applyAlignment="1" applyProtection="1">
      <alignment horizontal="right"/>
    </xf>
    <xf numFmtId="170" fontId="32" fillId="37" borderId="0" xfId="649" applyFont="1" applyFill="1" applyAlignment="1">
      <alignment horizontal="left"/>
    </xf>
    <xf numFmtId="167" fontId="32" fillId="37" borderId="0" xfId="349" applyFont="1" applyFill="1"/>
    <xf numFmtId="0" fontId="31" fillId="37" borderId="0" xfId="0" applyFont="1" applyFill="1" applyAlignment="1">
      <alignment horizontal="center"/>
    </xf>
    <xf numFmtId="0" fontId="7" fillId="37" borderId="0" xfId="0" applyFont="1" applyFill="1" applyAlignment="1">
      <alignment horizontal="center"/>
    </xf>
    <xf numFmtId="0" fontId="9" fillId="37" borderId="27" xfId="0" applyFont="1" applyFill="1" applyBorder="1" applyAlignment="1">
      <alignment horizontal="center"/>
    </xf>
    <xf numFmtId="0" fontId="9" fillId="0" borderId="0" xfId="0" applyFont="1"/>
    <xf numFmtId="170" fontId="32" fillId="37" borderId="0" xfId="649" applyFont="1" applyFill="1" applyAlignment="1">
      <alignment horizontal="right"/>
    </xf>
    <xf numFmtId="37" fontId="9" fillId="37" borderId="25" xfId="649" applyNumberFormat="1" applyFont="1" applyFill="1" applyBorder="1" applyAlignment="1">
      <alignment horizontal="center"/>
    </xf>
    <xf numFmtId="0" fontId="9" fillId="40" borderId="0" xfId="0" applyFont="1" applyFill="1"/>
    <xf numFmtId="14" fontId="9" fillId="37" borderId="27" xfId="649" applyNumberFormat="1" applyFont="1" applyFill="1" applyBorder="1" applyAlignment="1">
      <alignment horizontal="center"/>
    </xf>
    <xf numFmtId="14" fontId="9" fillId="37" borderId="25" xfId="649" applyNumberFormat="1" applyFont="1" applyFill="1" applyBorder="1" applyAlignment="1">
      <alignment horizontal="center"/>
    </xf>
    <xf numFmtId="37" fontId="9" fillId="37" borderId="25" xfId="649" applyNumberFormat="1" applyFont="1" applyFill="1" applyBorder="1" applyAlignment="1">
      <alignment horizontal="left"/>
    </xf>
    <xf numFmtId="173" fontId="9" fillId="37" borderId="28" xfId="649" applyNumberFormat="1" applyFont="1" applyFill="1" applyBorder="1" applyAlignment="1">
      <alignment horizontal="center"/>
    </xf>
    <xf numFmtId="9" fontId="9" fillId="37" borderId="28" xfId="0" applyNumberFormat="1" applyFont="1" applyFill="1" applyBorder="1" applyAlignment="1">
      <alignment horizontal="center"/>
    </xf>
    <xf numFmtId="167" fontId="9" fillId="37" borderId="28" xfId="349" applyFont="1" applyFill="1" applyBorder="1" applyAlignment="1" applyProtection="1">
      <alignment horizontal="center"/>
    </xf>
    <xf numFmtId="167" fontId="9" fillId="37" borderId="25" xfId="349" applyFont="1" applyFill="1" applyBorder="1" applyAlignment="1" applyProtection="1">
      <alignment horizontal="center"/>
    </xf>
    <xf numFmtId="0" fontId="9" fillId="37" borderId="0" xfId="0" applyFont="1" applyFill="1" applyAlignment="1">
      <alignment horizontal="center" wrapText="1"/>
    </xf>
    <xf numFmtId="9" fontId="9" fillId="37" borderId="0" xfId="0" applyNumberFormat="1" applyFont="1" applyFill="1" applyAlignment="1">
      <alignment horizontal="center" wrapText="1"/>
    </xf>
    <xf numFmtId="167" fontId="9" fillId="37" borderId="0" xfId="349" applyFont="1" applyFill="1" applyBorder="1" applyAlignment="1">
      <alignment horizontal="center"/>
    </xf>
    <xf numFmtId="167" fontId="9" fillId="37" borderId="27" xfId="349" applyFont="1" applyFill="1" applyBorder="1" applyAlignment="1">
      <alignment horizontal="center" wrapText="1"/>
    </xf>
    <xf numFmtId="4" fontId="85" fillId="37" borderId="0" xfId="0" applyNumberFormat="1" applyFont="1" applyFill="1" applyAlignment="1">
      <alignment vertical="center"/>
    </xf>
    <xf numFmtId="0" fontId="85" fillId="37" borderId="0" xfId="0" applyFont="1" applyFill="1" applyAlignment="1">
      <alignment vertical="center"/>
    </xf>
    <xf numFmtId="1" fontId="85" fillId="37" borderId="0" xfId="0" applyNumberFormat="1" applyFont="1" applyFill="1" applyAlignment="1">
      <alignment horizontal="left"/>
    </xf>
    <xf numFmtId="17" fontId="34" fillId="37" borderId="0" xfId="0" applyNumberFormat="1" applyFont="1" applyFill="1" applyAlignment="1">
      <alignment vertical="center"/>
    </xf>
    <xf numFmtId="170" fontId="29" fillId="37" borderId="29" xfId="649" applyFont="1" applyFill="1" applyBorder="1" applyAlignment="1">
      <alignment horizontal="center" vertical="center" wrapText="1"/>
    </xf>
    <xf numFmtId="170" fontId="29" fillId="37" borderId="30" xfId="649" applyFont="1" applyFill="1" applyBorder="1" applyAlignment="1">
      <alignment horizontal="center" vertical="center" wrapText="1"/>
    </xf>
    <xf numFmtId="170" fontId="29" fillId="37" borderId="31" xfId="649" applyFont="1" applyFill="1" applyBorder="1" applyAlignment="1">
      <alignment horizontal="center" vertical="center" wrapText="1"/>
    </xf>
    <xf numFmtId="170" fontId="29" fillId="37" borderId="32" xfId="649" applyFont="1" applyFill="1" applyBorder="1" applyAlignment="1">
      <alignment horizontal="center" vertical="center" wrapText="1"/>
    </xf>
    <xf numFmtId="170" fontId="29" fillId="37" borderId="33" xfId="649" applyFont="1" applyFill="1" applyBorder="1" applyAlignment="1">
      <alignment horizontal="center" vertical="center" wrapText="1"/>
    </xf>
    <xf numFmtId="170" fontId="29" fillId="37" borderId="34" xfId="649" quotePrefix="1" applyFont="1" applyFill="1" applyBorder="1" applyAlignment="1">
      <alignment horizontal="center" vertical="center" wrapText="1"/>
    </xf>
    <xf numFmtId="39" fontId="29" fillId="41" borderId="35" xfId="649" applyNumberFormat="1" applyFont="1" applyFill="1" applyBorder="1"/>
    <xf numFmtId="14" fontId="9" fillId="37" borderId="12" xfId="649" quotePrefix="1" applyNumberFormat="1" applyFont="1" applyFill="1" applyBorder="1" applyAlignment="1">
      <alignment horizontal="center"/>
    </xf>
    <xf numFmtId="37" fontId="9" fillId="37" borderId="12" xfId="649" applyNumberFormat="1" applyFont="1" applyFill="1" applyBorder="1" applyAlignment="1">
      <alignment horizontal="center" wrapText="1"/>
    </xf>
    <xf numFmtId="37" fontId="9" fillId="37" borderId="12" xfId="649" applyNumberFormat="1" applyFont="1" applyFill="1" applyBorder="1" applyAlignment="1">
      <alignment horizontal="center"/>
    </xf>
    <xf numFmtId="167" fontId="9" fillId="37" borderId="12" xfId="349" applyFont="1" applyFill="1" applyBorder="1" applyAlignment="1" applyProtection="1"/>
    <xf numFmtId="9" fontId="9" fillId="37" borderId="12" xfId="815" applyFont="1" applyFill="1" applyBorder="1" applyAlignment="1" applyProtection="1">
      <alignment horizontal="center"/>
    </xf>
    <xf numFmtId="167" fontId="9" fillId="37" borderId="12" xfId="349" applyFont="1" applyFill="1" applyBorder="1" applyAlignment="1" applyProtection="1">
      <alignment horizontal="right"/>
    </xf>
    <xf numFmtId="14" fontId="9" fillId="37" borderId="12" xfId="649" applyNumberFormat="1" applyFont="1" applyFill="1" applyBorder="1" applyAlignment="1">
      <alignment horizontal="center"/>
    </xf>
    <xf numFmtId="37" fontId="29" fillId="37" borderId="5" xfId="649" quotePrefix="1" applyNumberFormat="1" applyFont="1" applyFill="1" applyBorder="1" applyAlignment="1">
      <alignment horizontal="right"/>
    </xf>
    <xf numFmtId="174" fontId="9" fillId="37" borderId="12" xfId="649" applyNumberFormat="1" applyFont="1" applyFill="1" applyBorder="1" applyAlignment="1">
      <alignment horizontal="center"/>
    </xf>
    <xf numFmtId="0" fontId="9" fillId="37" borderId="12" xfId="0" applyFont="1" applyFill="1" applyBorder="1"/>
    <xf numFmtId="173" fontId="9" fillId="37" borderId="12" xfId="649" applyNumberFormat="1" applyFont="1" applyFill="1" applyBorder="1" applyAlignment="1">
      <alignment horizontal="center"/>
    </xf>
    <xf numFmtId="167" fontId="9" fillId="37" borderId="12" xfId="349" applyFont="1" applyFill="1" applyBorder="1" applyAlignment="1" applyProtection="1">
      <alignment horizontal="center"/>
    </xf>
    <xf numFmtId="9" fontId="9" fillId="37" borderId="12" xfId="0" applyNumberFormat="1" applyFont="1" applyFill="1" applyBorder="1" applyAlignment="1">
      <alignment horizontal="center"/>
    </xf>
    <xf numFmtId="167" fontId="9" fillId="37" borderId="12" xfId="349" applyFont="1" applyFill="1" applyBorder="1" applyAlignment="1">
      <alignment horizontal="center"/>
    </xf>
    <xf numFmtId="37" fontId="29" fillId="37" borderId="36" xfId="649" quotePrefix="1" applyNumberFormat="1" applyFont="1" applyFill="1" applyBorder="1"/>
    <xf numFmtId="167" fontId="29" fillId="38" borderId="37" xfId="349" applyFont="1" applyFill="1" applyBorder="1" applyAlignment="1" applyProtection="1">
      <alignment horizontal="right"/>
    </xf>
    <xf numFmtId="37" fontId="29" fillId="37" borderId="5" xfId="649" quotePrefix="1" applyNumberFormat="1" applyFont="1" applyFill="1" applyBorder="1" applyAlignment="1">
      <alignment horizontal="center"/>
    </xf>
    <xf numFmtId="167" fontId="29" fillId="38" borderId="38" xfId="349" applyFont="1" applyFill="1" applyBorder="1" applyAlignment="1" applyProtection="1">
      <alignment horizontal="right"/>
    </xf>
    <xf numFmtId="14" fontId="9" fillId="0" borderId="12" xfId="649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7" fontId="9" fillId="0" borderId="12" xfId="349" applyFont="1" applyFill="1" applyBorder="1" applyAlignment="1">
      <alignment horizontal="center" wrapText="1"/>
    </xf>
    <xf numFmtId="9" fontId="9" fillId="0" borderId="12" xfId="0" applyNumberFormat="1" applyFont="1" applyBorder="1" applyAlignment="1">
      <alignment horizontal="center" wrapText="1"/>
    </xf>
    <xf numFmtId="167" fontId="9" fillId="0" borderId="12" xfId="349" applyFont="1" applyFill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170" fontId="29" fillId="0" borderId="39" xfId="649" applyFont="1" applyBorder="1" applyAlignment="1">
      <alignment horizontal="center" vertical="center" wrapText="1"/>
    </xf>
    <xf numFmtId="170" fontId="29" fillId="0" borderId="40" xfId="649" applyFont="1" applyBorder="1" applyAlignment="1">
      <alignment horizontal="center" vertical="center" wrapText="1"/>
    </xf>
    <xf numFmtId="170" fontId="29" fillId="37" borderId="41" xfId="649" applyFont="1" applyFill="1" applyBorder="1" applyAlignment="1">
      <alignment horizontal="center" vertical="center" wrapText="1"/>
    </xf>
    <xf numFmtId="170" fontId="29" fillId="0" borderId="41" xfId="649" applyFont="1" applyBorder="1" applyAlignment="1">
      <alignment horizontal="center" vertical="center" wrapText="1"/>
    </xf>
    <xf numFmtId="0" fontId="29" fillId="37" borderId="42" xfId="0" applyFont="1" applyFill="1" applyBorder="1" applyAlignment="1">
      <alignment horizontal="center" vertical="center" wrapText="1"/>
    </xf>
    <xf numFmtId="170" fontId="29" fillId="37" borderId="43" xfId="649" applyFont="1" applyFill="1" applyBorder="1" applyAlignment="1">
      <alignment horizontal="center" vertical="center" wrapText="1"/>
    </xf>
    <xf numFmtId="167" fontId="29" fillId="37" borderId="42" xfId="349" applyFont="1" applyFill="1" applyBorder="1" applyAlignment="1">
      <alignment horizontal="center" vertical="center" wrapText="1"/>
    </xf>
    <xf numFmtId="0" fontId="65" fillId="0" borderId="12" xfId="0" applyFont="1" applyBorder="1" applyAlignment="1">
      <alignment horizontal="center"/>
    </xf>
    <xf numFmtId="0" fontId="64" fillId="0" borderId="12" xfId="0" applyFont="1" applyBorder="1" applyAlignment="1">
      <alignment horizontal="center"/>
    </xf>
    <xf numFmtId="0" fontId="86" fillId="0" borderId="12" xfId="0" applyFont="1" applyBorder="1" applyAlignment="1">
      <alignment horizontal="center"/>
    </xf>
    <xf numFmtId="167" fontId="64" fillId="0" borderId="12" xfId="349" applyFont="1" applyFill="1" applyBorder="1" applyAlignment="1">
      <alignment horizontal="center" wrapText="1"/>
    </xf>
    <xf numFmtId="0" fontId="64" fillId="0" borderId="12" xfId="0" applyFont="1" applyBorder="1" applyAlignment="1">
      <alignment horizontal="center" wrapText="1"/>
    </xf>
    <xf numFmtId="0" fontId="64" fillId="37" borderId="12" xfId="0" applyFont="1" applyFill="1" applyBorder="1" applyAlignment="1">
      <alignment horizontal="center" wrapText="1"/>
    </xf>
    <xf numFmtId="167" fontId="64" fillId="37" borderId="12" xfId="349" applyFont="1" applyFill="1" applyBorder="1" applyAlignment="1">
      <alignment horizontal="center" wrapText="1"/>
    </xf>
    <xf numFmtId="37" fontId="9" fillId="37" borderId="12" xfId="649" applyNumberFormat="1" applyFont="1" applyFill="1" applyBorder="1" applyAlignment="1">
      <alignment horizontal="left"/>
    </xf>
    <xf numFmtId="167" fontId="63" fillId="37" borderId="12" xfId="349" applyFont="1" applyFill="1" applyBorder="1" applyAlignment="1" applyProtection="1">
      <alignment horizontal="center"/>
    </xf>
    <xf numFmtId="164" fontId="29" fillId="30" borderId="0" xfId="270" applyFont="1" applyFill="1" applyAlignment="1">
      <alignment horizontal="right"/>
    </xf>
    <xf numFmtId="0" fontId="29" fillId="37" borderId="0" xfId="0" applyFont="1" applyFill="1" applyAlignment="1">
      <alignment horizontal="right"/>
    </xf>
    <xf numFmtId="164" fontId="2" fillId="30" borderId="0" xfId="270" applyFont="1" applyFill="1"/>
    <xf numFmtId="170" fontId="66" fillId="37" borderId="0" xfId="649" applyFont="1" applyFill="1"/>
    <xf numFmtId="170" fontId="66" fillId="37" borderId="0" xfId="649" applyFont="1" applyFill="1" applyAlignment="1">
      <alignment horizontal="center"/>
    </xf>
    <xf numFmtId="170" fontId="66" fillId="37" borderId="0" xfId="649" applyFont="1" applyFill="1" applyAlignment="1">
      <alignment horizontal="centerContinuous"/>
    </xf>
    <xf numFmtId="0" fontId="87" fillId="37" borderId="0" xfId="0" applyFont="1" applyFill="1"/>
    <xf numFmtId="164" fontId="2" fillId="37" borderId="0" xfId="270" applyFont="1" applyFill="1" applyAlignment="1">
      <alignment horizontal="center"/>
    </xf>
    <xf numFmtId="176" fontId="2" fillId="37" borderId="0" xfId="0" applyNumberFormat="1" applyFont="1" applyFill="1" applyAlignment="1">
      <alignment horizontal="center"/>
    </xf>
    <xf numFmtId="164" fontId="2" fillId="37" borderId="0" xfId="270" applyFont="1" applyFill="1"/>
    <xf numFmtId="0" fontId="29" fillId="37" borderId="0" xfId="0" applyFont="1" applyFill="1" applyAlignment="1">
      <alignment horizontal="left"/>
    </xf>
    <xf numFmtId="170" fontId="29" fillId="37" borderId="12" xfId="649" applyFont="1" applyFill="1" applyBorder="1" applyAlignment="1">
      <alignment horizontal="center" vertical="center" wrapText="1"/>
    </xf>
    <xf numFmtId="14" fontId="9" fillId="0" borderId="27" xfId="0" applyNumberFormat="1" applyFont="1" applyBorder="1" applyAlignment="1">
      <alignment horizontal="center" vertical="center"/>
    </xf>
    <xf numFmtId="170" fontId="9" fillId="37" borderId="45" xfId="649" applyFont="1" applyFill="1" applyBorder="1" applyAlignment="1">
      <alignment horizontal="center"/>
    </xf>
    <xf numFmtId="170" fontId="9" fillId="37" borderId="46" xfId="649" applyFont="1" applyFill="1" applyBorder="1" applyAlignment="1">
      <alignment horizontal="center"/>
    </xf>
    <xf numFmtId="167" fontId="9" fillId="37" borderId="46" xfId="353" applyFont="1" applyFill="1" applyBorder="1" applyAlignment="1" applyProtection="1">
      <alignment horizontal="center"/>
    </xf>
    <xf numFmtId="170" fontId="9" fillId="37" borderId="0" xfId="649" applyFont="1" applyFill="1" applyAlignment="1">
      <alignment horizontal="center"/>
    </xf>
    <xf numFmtId="167" fontId="9" fillId="37" borderId="27" xfId="353" quotePrefix="1" applyFont="1" applyFill="1" applyBorder="1" applyAlignment="1" applyProtection="1">
      <alignment horizontal="center"/>
    </xf>
    <xf numFmtId="170" fontId="29" fillId="40" borderId="27" xfId="649" applyFont="1" applyFill="1" applyBorder="1" applyAlignment="1">
      <alignment horizontal="center" vertical="center" wrapText="1"/>
    </xf>
    <xf numFmtId="170" fontId="29" fillId="40" borderId="45" xfId="649" applyFont="1" applyFill="1" applyBorder="1" applyAlignment="1">
      <alignment horizontal="center" vertical="center" wrapText="1"/>
    </xf>
    <xf numFmtId="170" fontId="29" fillId="40" borderId="46" xfId="649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 wrapText="1"/>
    </xf>
    <xf numFmtId="0" fontId="2" fillId="40" borderId="0" xfId="0" applyFont="1" applyFill="1"/>
    <xf numFmtId="14" fontId="9" fillId="37" borderId="25" xfId="649" applyNumberFormat="1" applyFont="1" applyFill="1" applyBorder="1" applyAlignment="1">
      <alignment horizontal="left"/>
    </xf>
    <xf numFmtId="14" fontId="9" fillId="37" borderId="47" xfId="649" applyNumberFormat="1" applyFont="1" applyFill="1" applyBorder="1" applyAlignment="1">
      <alignment horizontal="center"/>
    </xf>
    <xf numFmtId="14" fontId="9" fillId="37" borderId="46" xfId="649" applyNumberFormat="1" applyFont="1" applyFill="1" applyBorder="1" applyAlignment="1">
      <alignment horizontal="center"/>
    </xf>
    <xf numFmtId="39" fontId="9" fillId="37" borderId="46" xfId="649" applyNumberFormat="1" applyFont="1" applyFill="1" applyBorder="1" applyAlignment="1">
      <alignment horizontal="center"/>
    </xf>
    <xf numFmtId="43" fontId="9" fillId="37" borderId="46" xfId="270" applyNumberFormat="1" applyFont="1" applyFill="1" applyBorder="1" applyAlignment="1" applyProtection="1">
      <alignment horizontal="right"/>
    </xf>
    <xf numFmtId="37" fontId="9" fillId="37" borderId="46" xfId="649" applyNumberFormat="1" applyFont="1" applyFill="1" applyBorder="1" applyAlignment="1">
      <alignment horizontal="center"/>
    </xf>
    <xf numFmtId="173" fontId="9" fillId="37" borderId="0" xfId="649" applyNumberFormat="1" applyFont="1" applyFill="1" applyAlignment="1">
      <alignment horizontal="right"/>
    </xf>
    <xf numFmtId="43" fontId="9" fillId="37" borderId="25" xfId="270" applyNumberFormat="1" applyFont="1" applyFill="1" applyBorder="1" applyAlignment="1" applyProtection="1"/>
    <xf numFmtId="170" fontId="2" fillId="37" borderId="23" xfId="649" applyFont="1" applyFill="1" applyBorder="1"/>
    <xf numFmtId="14" fontId="2" fillId="37" borderId="23" xfId="0" applyNumberFormat="1" applyFont="1" applyFill="1" applyBorder="1" applyAlignment="1">
      <alignment horizontal="center"/>
    </xf>
    <xf numFmtId="0" fontId="2" fillId="37" borderId="23" xfId="0" applyFont="1" applyFill="1" applyBorder="1" applyAlignment="1">
      <alignment horizontal="center"/>
    </xf>
    <xf numFmtId="43" fontId="2" fillId="37" borderId="23" xfId="270" applyNumberFormat="1" applyFont="1" applyFill="1" applyBorder="1" applyAlignment="1"/>
    <xf numFmtId="0" fontId="29" fillId="37" borderId="23" xfId="0" applyFont="1" applyFill="1" applyBorder="1"/>
    <xf numFmtId="0" fontId="29" fillId="37" borderId="23" xfId="0" applyFont="1" applyFill="1" applyBorder="1" applyAlignment="1">
      <alignment horizontal="right"/>
    </xf>
    <xf numFmtId="43" fontId="29" fillId="38" borderId="12" xfId="270" applyNumberFormat="1" applyFont="1" applyFill="1" applyBorder="1" applyAlignment="1" applyProtection="1">
      <alignment horizontal="center"/>
    </xf>
    <xf numFmtId="167" fontId="2" fillId="37" borderId="0" xfId="0" applyNumberFormat="1" applyFont="1" applyFill="1"/>
    <xf numFmtId="0" fontId="29" fillId="37" borderId="42" xfId="0" applyFont="1" applyFill="1" applyBorder="1" applyAlignment="1">
      <alignment horizontal="center" vertical="center"/>
    </xf>
    <xf numFmtId="0" fontId="68" fillId="37" borderId="42" xfId="0" applyFont="1" applyFill="1" applyBorder="1" applyAlignment="1">
      <alignment horizontal="center"/>
    </xf>
    <xf numFmtId="0" fontId="69" fillId="37" borderId="42" xfId="0" applyFont="1" applyFill="1" applyBorder="1" applyAlignment="1">
      <alignment horizontal="center"/>
    </xf>
    <xf numFmtId="0" fontId="2" fillId="37" borderId="42" xfId="0" applyFont="1" applyFill="1" applyBorder="1"/>
    <xf numFmtId="14" fontId="2" fillId="37" borderId="27" xfId="0" applyNumberFormat="1" applyFont="1" applyFill="1" applyBorder="1" applyAlignment="1">
      <alignment horizontal="center"/>
    </xf>
    <xf numFmtId="0" fontId="2" fillId="37" borderId="27" xfId="0" applyFont="1" applyFill="1" applyBorder="1" applyAlignment="1">
      <alignment horizontal="center"/>
    </xf>
    <xf numFmtId="167" fontId="2" fillId="37" borderId="48" xfId="148" applyFont="1" applyFill="1" applyBorder="1" applyAlignment="1">
      <alignment horizontal="right"/>
    </xf>
    <xf numFmtId="176" fontId="2" fillId="37" borderId="27" xfId="0" applyNumberFormat="1" applyFont="1" applyFill="1" applyBorder="1" applyAlignment="1">
      <alignment horizontal="center"/>
    </xf>
    <xf numFmtId="175" fontId="2" fillId="37" borderId="0" xfId="0" applyNumberFormat="1" applyFont="1" applyFill="1" applyAlignment="1">
      <alignment horizontal="center"/>
    </xf>
    <xf numFmtId="167" fontId="2" fillId="37" borderId="27" xfId="148" applyFont="1" applyFill="1" applyBorder="1" applyAlignment="1"/>
    <xf numFmtId="14" fontId="2" fillId="37" borderId="25" xfId="0" applyNumberFormat="1" applyFont="1" applyFill="1" applyBorder="1" applyAlignment="1">
      <alignment horizontal="center"/>
    </xf>
    <xf numFmtId="0" fontId="2" fillId="37" borderId="25" xfId="0" applyFont="1" applyFill="1" applyBorder="1" applyAlignment="1">
      <alignment horizontal="center"/>
    </xf>
    <xf numFmtId="0" fontId="2" fillId="37" borderId="28" xfId="0" applyFont="1" applyFill="1" applyBorder="1" applyAlignment="1">
      <alignment horizontal="center"/>
    </xf>
    <xf numFmtId="167" fontId="2" fillId="37" borderId="49" xfId="148" applyFont="1" applyFill="1" applyBorder="1" applyAlignment="1">
      <alignment horizontal="right"/>
    </xf>
    <xf numFmtId="176" fontId="2" fillId="37" borderId="25" xfId="0" applyNumberFormat="1" applyFont="1" applyFill="1" applyBorder="1" applyAlignment="1">
      <alignment horizontal="center"/>
    </xf>
    <xf numFmtId="175" fontId="2" fillId="37" borderId="28" xfId="0" applyNumberFormat="1" applyFont="1" applyFill="1" applyBorder="1" applyAlignment="1">
      <alignment horizontal="center"/>
    </xf>
    <xf numFmtId="167" fontId="2" fillId="37" borderId="25" xfId="148" applyFont="1" applyFill="1" applyBorder="1" applyAlignment="1"/>
    <xf numFmtId="4" fontId="29" fillId="37" borderId="0" xfId="0" applyNumberFormat="1" applyFont="1" applyFill="1" applyAlignment="1">
      <alignment horizontal="center"/>
    </xf>
    <xf numFmtId="167" fontId="29" fillId="38" borderId="25" xfId="148" applyFont="1" applyFill="1" applyBorder="1"/>
    <xf numFmtId="16" fontId="2" fillId="30" borderId="0" xfId="0" applyNumberFormat="1" applyFont="1" applyFill="1" applyAlignment="1">
      <alignment horizontal="center"/>
    </xf>
    <xf numFmtId="170" fontId="31" fillId="37" borderId="27" xfId="649" applyFont="1" applyFill="1" applyBorder="1"/>
    <xf numFmtId="170" fontId="31" fillId="37" borderId="45" xfId="649" quotePrefix="1" applyFont="1" applyFill="1" applyBorder="1" applyAlignment="1">
      <alignment horizontal="center"/>
    </xf>
    <xf numFmtId="170" fontId="31" fillId="37" borderId="46" xfId="649" quotePrefix="1" applyFont="1" applyFill="1" applyBorder="1" applyAlignment="1">
      <alignment horizontal="center"/>
    </xf>
    <xf numFmtId="170" fontId="31" fillId="37" borderId="46" xfId="649" applyFont="1" applyFill="1" applyBorder="1" applyAlignment="1">
      <alignment horizontal="center"/>
    </xf>
    <xf numFmtId="14" fontId="2" fillId="37" borderId="27" xfId="649" applyNumberFormat="1" applyFont="1" applyFill="1" applyBorder="1" applyAlignment="1">
      <alignment horizontal="center"/>
    </xf>
    <xf numFmtId="170" fontId="2" fillId="37" borderId="45" xfId="649" applyFont="1" applyFill="1" applyBorder="1" applyAlignment="1">
      <alignment horizontal="center"/>
    </xf>
    <xf numFmtId="170" fontId="2" fillId="37" borderId="46" xfId="649" applyFont="1" applyFill="1" applyBorder="1" applyAlignment="1">
      <alignment horizontal="center"/>
    </xf>
    <xf numFmtId="4" fontId="2" fillId="37" borderId="46" xfId="649" applyNumberFormat="1" applyFont="1" applyFill="1" applyBorder="1" applyAlignment="1">
      <alignment horizontal="center"/>
    </xf>
    <xf numFmtId="173" fontId="2" fillId="37" borderId="46" xfId="649" applyNumberFormat="1" applyFont="1" applyFill="1" applyBorder="1" applyAlignment="1">
      <alignment horizontal="center"/>
    </xf>
    <xf numFmtId="4" fontId="2" fillId="37" borderId="46" xfId="649" quotePrefix="1" applyNumberFormat="1" applyFont="1" applyFill="1" applyBorder="1" applyAlignment="1">
      <alignment horizontal="center"/>
    </xf>
    <xf numFmtId="14" fontId="29" fillId="37" borderId="25" xfId="649" applyNumberFormat="1" applyFont="1" applyFill="1" applyBorder="1" applyAlignment="1">
      <alignment horizontal="left"/>
    </xf>
    <xf numFmtId="14" fontId="2" fillId="37" borderId="47" xfId="649" applyNumberFormat="1" applyFont="1" applyFill="1" applyBorder="1" applyAlignment="1">
      <alignment horizontal="center"/>
    </xf>
    <xf numFmtId="14" fontId="2" fillId="37" borderId="46" xfId="649" applyNumberFormat="1" applyFont="1" applyFill="1" applyBorder="1" applyAlignment="1">
      <alignment horizontal="center"/>
    </xf>
    <xf numFmtId="39" fontId="2" fillId="37" borderId="46" xfId="649" applyNumberFormat="1" applyFont="1" applyFill="1" applyBorder="1" applyAlignment="1">
      <alignment horizontal="center"/>
    </xf>
    <xf numFmtId="43" fontId="2" fillId="37" borderId="46" xfId="270" applyNumberFormat="1" applyFont="1" applyFill="1" applyBorder="1" applyAlignment="1" applyProtection="1">
      <alignment horizontal="right"/>
    </xf>
    <xf numFmtId="37" fontId="2" fillId="37" borderId="46" xfId="649" applyNumberFormat="1" applyFont="1" applyFill="1" applyBorder="1" applyAlignment="1">
      <alignment horizontal="center"/>
    </xf>
    <xf numFmtId="173" fontId="2" fillId="37" borderId="46" xfId="649" applyNumberFormat="1" applyFont="1" applyFill="1" applyBorder="1" applyAlignment="1">
      <alignment horizontal="right"/>
    </xf>
    <xf numFmtId="43" fontId="29" fillId="37" borderId="46" xfId="270" applyNumberFormat="1" applyFont="1" applyFill="1" applyBorder="1" applyAlignment="1" applyProtection="1"/>
    <xf numFmtId="0" fontId="31" fillId="30" borderId="0" xfId="0" applyFont="1" applyFill="1"/>
    <xf numFmtId="0" fontId="68" fillId="30" borderId="0" xfId="0" applyFont="1" applyFill="1" applyAlignment="1">
      <alignment horizontal="center"/>
    </xf>
    <xf numFmtId="164" fontId="68" fillId="30" borderId="0" xfId="270" applyFont="1" applyFill="1" applyAlignment="1">
      <alignment horizontal="center"/>
    </xf>
    <xf numFmtId="14" fontId="2" fillId="30" borderId="0" xfId="0" applyNumberFormat="1" applyFont="1" applyFill="1" applyAlignment="1">
      <alignment horizontal="center"/>
    </xf>
    <xf numFmtId="176" fontId="2" fillId="30" borderId="28" xfId="0" applyNumberFormat="1" applyFont="1" applyFill="1" applyBorder="1" applyAlignment="1">
      <alignment horizontal="center"/>
    </xf>
    <xf numFmtId="167" fontId="2" fillId="37" borderId="0" xfId="353" applyFont="1" applyFill="1"/>
    <xf numFmtId="0" fontId="34" fillId="37" borderId="0" xfId="0" applyFont="1" applyFill="1" applyAlignment="1">
      <alignment horizontal="center"/>
    </xf>
    <xf numFmtId="0" fontId="36" fillId="37" borderId="0" xfId="0" applyFont="1" applyFill="1" applyAlignment="1">
      <alignment horizontal="center"/>
    </xf>
    <xf numFmtId="167" fontId="36" fillId="37" borderId="0" xfId="353" applyFont="1" applyFill="1" applyAlignment="1">
      <alignment horizontal="center"/>
    </xf>
    <xf numFmtId="49" fontId="59" fillId="37" borderId="0" xfId="0" quotePrefix="1" applyNumberFormat="1" applyFont="1" applyFill="1" applyAlignment="1">
      <alignment horizontal="center"/>
    </xf>
    <xf numFmtId="170" fontId="29" fillId="37" borderId="42" xfId="649" applyFont="1" applyFill="1" applyBorder="1"/>
    <xf numFmtId="170" fontId="29" fillId="37" borderId="40" xfId="649" applyFont="1" applyFill="1" applyBorder="1"/>
    <xf numFmtId="170" fontId="29" fillId="37" borderId="41" xfId="649" applyFont="1" applyFill="1" applyBorder="1" applyAlignment="1">
      <alignment horizontal="left"/>
    </xf>
    <xf numFmtId="0" fontId="88" fillId="37" borderId="42" xfId="0" applyFont="1" applyFill="1" applyBorder="1" applyAlignment="1">
      <alignment horizontal="center"/>
    </xf>
    <xf numFmtId="170" fontId="29" fillId="37" borderId="41" xfId="649" applyFont="1" applyFill="1" applyBorder="1"/>
    <xf numFmtId="170" fontId="29" fillId="37" borderId="41" xfId="649" applyFont="1" applyFill="1" applyBorder="1" applyAlignment="1">
      <alignment horizontal="center"/>
    </xf>
    <xf numFmtId="170" fontId="29" fillId="37" borderId="41" xfId="649" quotePrefix="1" applyFont="1" applyFill="1" applyBorder="1" applyAlignment="1">
      <alignment horizontal="center"/>
    </xf>
    <xf numFmtId="167" fontId="29" fillId="37" borderId="43" xfId="353" applyFont="1" applyFill="1" applyBorder="1" applyAlignment="1" applyProtection="1">
      <alignment horizontal="center"/>
    </xf>
    <xf numFmtId="170" fontId="2" fillId="37" borderId="50" xfId="649" applyFont="1" applyFill="1" applyBorder="1" applyAlignment="1">
      <alignment horizontal="center" wrapText="1"/>
    </xf>
    <xf numFmtId="170" fontId="2" fillId="37" borderId="50" xfId="649" applyFont="1" applyFill="1" applyBorder="1" applyAlignment="1">
      <alignment horizontal="center"/>
    </xf>
    <xf numFmtId="167" fontId="2" fillId="37" borderId="50" xfId="353" applyFont="1" applyFill="1" applyBorder="1"/>
    <xf numFmtId="170" fontId="2" fillId="37" borderId="50" xfId="649" applyFont="1" applyFill="1" applyBorder="1"/>
    <xf numFmtId="174" fontId="2" fillId="37" borderId="25" xfId="649" applyNumberFormat="1" applyFont="1" applyFill="1" applyBorder="1" applyAlignment="1">
      <alignment horizontal="center"/>
    </xf>
    <xf numFmtId="37" fontId="2" fillId="37" borderId="51" xfId="649" applyNumberFormat="1" applyFont="1" applyFill="1" applyBorder="1" applyAlignment="1">
      <alignment horizontal="center"/>
    </xf>
    <xf numFmtId="174" fontId="2" fillId="37" borderId="52" xfId="649" applyNumberFormat="1" applyFont="1" applyFill="1" applyBorder="1" applyAlignment="1">
      <alignment horizontal="center"/>
    </xf>
    <xf numFmtId="37" fontId="2" fillId="37" borderId="52" xfId="649" applyNumberFormat="1" applyFont="1" applyFill="1" applyBorder="1" applyAlignment="1">
      <alignment horizontal="center"/>
    </xf>
    <xf numFmtId="0" fontId="2" fillId="37" borderId="52" xfId="649" applyNumberFormat="1" applyFont="1" applyFill="1" applyBorder="1" applyAlignment="1">
      <alignment horizontal="center"/>
    </xf>
    <xf numFmtId="167" fontId="2" fillId="37" borderId="52" xfId="353" applyFont="1" applyFill="1" applyBorder="1" applyAlignment="1" applyProtection="1">
      <alignment horizontal="right"/>
    </xf>
    <xf numFmtId="173" fontId="2" fillId="37" borderId="28" xfId="649" applyNumberFormat="1" applyFont="1" applyFill="1" applyBorder="1" applyAlignment="1">
      <alignment horizontal="center"/>
    </xf>
    <xf numFmtId="167" fontId="29" fillId="37" borderId="25" xfId="353" applyFont="1" applyFill="1" applyBorder="1" applyAlignment="1" applyProtection="1">
      <alignment horizontal="right"/>
    </xf>
    <xf numFmtId="170" fontId="29" fillId="40" borderId="42" xfId="649" applyFont="1" applyFill="1" applyBorder="1"/>
    <xf numFmtId="170" fontId="29" fillId="40" borderId="40" xfId="649" applyFont="1" applyFill="1" applyBorder="1"/>
    <xf numFmtId="170" fontId="29" fillId="40" borderId="41" xfId="649" applyFont="1" applyFill="1" applyBorder="1" applyAlignment="1">
      <alignment horizontal="left"/>
    </xf>
    <xf numFmtId="0" fontId="88" fillId="40" borderId="42" xfId="0" applyFont="1" applyFill="1" applyBorder="1" applyAlignment="1">
      <alignment horizontal="center"/>
    </xf>
    <xf numFmtId="170" fontId="29" fillId="40" borderId="41" xfId="649" applyFont="1" applyFill="1" applyBorder="1"/>
    <xf numFmtId="170" fontId="29" fillId="40" borderId="41" xfId="649" applyFont="1" applyFill="1" applyBorder="1" applyAlignment="1">
      <alignment horizontal="center"/>
    </xf>
    <xf numFmtId="170" fontId="29" fillId="40" borderId="41" xfId="649" quotePrefix="1" applyFont="1" applyFill="1" applyBorder="1" applyAlignment="1">
      <alignment horizontal="center"/>
    </xf>
    <xf numFmtId="167" fontId="29" fillId="40" borderId="43" xfId="353" applyFont="1" applyFill="1" applyBorder="1" applyAlignment="1" applyProtection="1">
      <alignment horizontal="center"/>
    </xf>
    <xf numFmtId="170" fontId="29" fillId="40" borderId="0" xfId="649" applyFont="1" applyFill="1"/>
    <xf numFmtId="167" fontId="29" fillId="37" borderId="0" xfId="353" applyFont="1" applyFill="1"/>
    <xf numFmtId="176" fontId="29" fillId="37" borderId="0" xfId="0" applyNumberFormat="1" applyFont="1" applyFill="1"/>
    <xf numFmtId="167" fontId="29" fillId="38" borderId="25" xfId="353" applyFont="1" applyFill="1" applyBorder="1" applyAlignment="1" applyProtection="1">
      <alignment horizontal="right"/>
    </xf>
    <xf numFmtId="167" fontId="29" fillId="37" borderId="0" xfId="353" applyFont="1" applyFill="1" applyBorder="1" applyAlignment="1" applyProtection="1">
      <alignment horizontal="right"/>
    </xf>
    <xf numFmtId="0" fontId="2" fillId="37" borderId="0" xfId="0" applyFont="1" applyFill="1" applyAlignment="1">
      <alignment wrapText="1"/>
    </xf>
    <xf numFmtId="170" fontId="2" fillId="37" borderId="0" xfId="649" applyFont="1" applyFill="1" applyAlignment="1">
      <alignment horizontal="left"/>
    </xf>
    <xf numFmtId="167" fontId="29" fillId="37" borderId="12" xfId="353" applyFont="1" applyFill="1" applyBorder="1" applyAlignment="1">
      <alignment horizontal="center" vertical="center" wrapText="1"/>
    </xf>
    <xf numFmtId="167" fontId="9" fillId="37" borderId="0" xfId="353" applyFont="1" applyFill="1" applyBorder="1" applyAlignment="1">
      <alignment horizontal="center"/>
    </xf>
    <xf numFmtId="167" fontId="9" fillId="37" borderId="27" xfId="353" applyFont="1" applyFill="1" applyBorder="1" applyAlignment="1">
      <alignment horizontal="center" wrapText="1"/>
    </xf>
    <xf numFmtId="167" fontId="9" fillId="37" borderId="28" xfId="353" applyFont="1" applyFill="1" applyBorder="1" applyAlignment="1" applyProtection="1">
      <alignment horizontal="center"/>
    </xf>
    <xf numFmtId="167" fontId="9" fillId="37" borderId="25" xfId="353" applyFont="1" applyFill="1" applyBorder="1" applyAlignment="1" applyProtection="1">
      <alignment horizontal="center"/>
    </xf>
    <xf numFmtId="167" fontId="29" fillId="38" borderId="25" xfId="353" applyFont="1" applyFill="1" applyBorder="1"/>
    <xf numFmtId="14" fontId="2" fillId="37" borderId="12" xfId="0" applyNumberFormat="1" applyFont="1" applyFill="1" applyBorder="1" applyAlignment="1">
      <alignment horizontal="center" vertical="center" wrapText="1"/>
    </xf>
    <xf numFmtId="0" fontId="2" fillId="37" borderId="12" xfId="0" applyFont="1" applyFill="1" applyBorder="1" applyAlignment="1">
      <alignment horizontal="center" vertical="center"/>
    </xf>
    <xf numFmtId="0" fontId="2" fillId="37" borderId="12" xfId="0" applyFont="1" applyFill="1" applyBorder="1" applyAlignment="1">
      <alignment horizontal="center" vertical="center" wrapText="1"/>
    </xf>
    <xf numFmtId="170" fontId="2" fillId="37" borderId="1" xfId="649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right"/>
    </xf>
    <xf numFmtId="170" fontId="30" fillId="37" borderId="0" xfId="649" applyFont="1" applyFill="1" applyAlignment="1">
      <alignment horizontal="center"/>
    </xf>
    <xf numFmtId="0" fontId="2" fillId="37" borderId="0" xfId="0" applyFont="1" applyFill="1" applyAlignment="1">
      <alignment horizontal="center"/>
    </xf>
    <xf numFmtId="17" fontId="34" fillId="37" borderId="0" xfId="0" applyNumberFormat="1" applyFont="1" applyFill="1" applyAlignment="1">
      <alignment horizontal="center" vertical="center"/>
    </xf>
    <xf numFmtId="167" fontId="7" fillId="37" borderId="0" xfId="349" applyFont="1" applyFill="1" applyAlignment="1">
      <alignment horizontal="center"/>
    </xf>
    <xf numFmtId="170" fontId="59" fillId="37" borderId="0" xfId="649" quotePrefix="1" applyFont="1" applyFill="1" applyAlignment="1">
      <alignment horizontal="center"/>
    </xf>
    <xf numFmtId="170" fontId="59" fillId="37" borderId="0" xfId="649" applyFont="1" applyFill="1" applyAlignment="1">
      <alignment horizontal="center"/>
    </xf>
    <xf numFmtId="37" fontId="29" fillId="37" borderId="44" xfId="649" quotePrefix="1" applyNumberFormat="1" applyFont="1" applyFill="1" applyBorder="1" applyAlignment="1">
      <alignment horizontal="right"/>
    </xf>
    <xf numFmtId="37" fontId="29" fillId="37" borderId="16" xfId="649" quotePrefix="1" applyNumberFormat="1" applyFont="1" applyFill="1" applyBorder="1" applyAlignment="1">
      <alignment horizontal="right"/>
    </xf>
    <xf numFmtId="170" fontId="59" fillId="0" borderId="0" xfId="649" applyFont="1" applyAlignment="1">
      <alignment horizontal="center"/>
    </xf>
    <xf numFmtId="170" fontId="59" fillId="0" borderId="0" xfId="649" quotePrefix="1" applyFont="1" applyAlignment="1">
      <alignment horizontal="center"/>
    </xf>
    <xf numFmtId="0" fontId="36" fillId="0" borderId="0" xfId="0" applyFont="1"/>
    <xf numFmtId="17" fontId="34" fillId="37" borderId="0" xfId="0" applyNumberFormat="1" applyFont="1" applyFill="1" applyAlignment="1">
      <alignment horizontal="center"/>
    </xf>
    <xf numFmtId="0" fontId="36" fillId="37" borderId="0" xfId="0" applyFont="1" applyFill="1"/>
    <xf numFmtId="170" fontId="59" fillId="37" borderId="0" xfId="649" applyFont="1" applyFill="1" applyAlignment="1">
      <alignment horizontal="center" vertical="center" wrapText="1"/>
    </xf>
    <xf numFmtId="0" fontId="36" fillId="37" borderId="0" xfId="0" applyFont="1" applyFill="1" applyAlignment="1">
      <alignment vertical="center" wrapText="1"/>
    </xf>
    <xf numFmtId="170" fontId="29" fillId="37" borderId="0" xfId="649" applyFont="1" applyFill="1" applyAlignment="1">
      <alignment horizontal="center" vertical="center" wrapText="1"/>
    </xf>
    <xf numFmtId="170" fontId="29" fillId="37" borderId="0" xfId="649" applyFont="1" applyFill="1" applyAlignment="1">
      <alignment horizontal="center" vertical="center"/>
    </xf>
  </cellXfs>
  <cellStyles count="862">
    <cellStyle name="20% - Accent1 2" xfId="1" xr:uid="{DA5C8E63-AFF4-47D7-BB7C-A862860B25B8}"/>
    <cellStyle name="20% - Accent1 3" xfId="2" xr:uid="{E831C171-17A4-43AC-9C2F-C3DEC45A8EC5}"/>
    <cellStyle name="20% - Accent1 4" xfId="3" xr:uid="{27627C54-13D7-493E-A223-7FCC9E65225A}"/>
    <cellStyle name="20% - Accent2 2" xfId="4" xr:uid="{5EB39BCA-2899-4666-93AB-D0D570F5BF77}"/>
    <cellStyle name="20% - Accent2 3" xfId="5" xr:uid="{1F60CAB0-CCF4-41E8-8D76-6AE870739E4D}"/>
    <cellStyle name="20% - Accent2 4" xfId="6" xr:uid="{207A4968-DF51-49EE-916F-724C923CA9C9}"/>
    <cellStyle name="20% - Accent3 2" xfId="7" xr:uid="{75653C46-9184-4B5C-A9C5-6DC94786DC5C}"/>
    <cellStyle name="20% - Accent3 3" xfId="8" xr:uid="{D0908F6E-C02D-4460-9BEF-4CB17817D8AE}"/>
    <cellStyle name="20% - Accent3 4" xfId="9" xr:uid="{E9A45745-2939-476D-9AAA-3C6F6D0ECFF2}"/>
    <cellStyle name="20% - Accent4 2" xfId="10" xr:uid="{CD4B7EC0-991C-4281-9232-4A837116CD67}"/>
    <cellStyle name="20% - Accent4 3" xfId="11" xr:uid="{491017D9-4408-47D2-A745-C681D3FEE4AA}"/>
    <cellStyle name="20% - Accent4 4" xfId="12" xr:uid="{2EDB01E5-7100-4B8A-B401-C3050588733D}"/>
    <cellStyle name="20% - Accent5 2" xfId="13" xr:uid="{ADAFC53B-1EB6-431E-902E-FEBC11FE5A23}"/>
    <cellStyle name="20% - Accent5 3" xfId="14" xr:uid="{B58B0FA6-3B42-4AA6-9B7E-440DC5E2E923}"/>
    <cellStyle name="20% - Accent5 4" xfId="15" xr:uid="{ADC9D4BF-7CA3-47B9-A51B-3CF4602241C2}"/>
    <cellStyle name="20% - Accent6 2" xfId="16" xr:uid="{7B074E0B-E4FA-4F7C-ADD2-0C519E798B3A}"/>
    <cellStyle name="20% - Accent6 3" xfId="17" xr:uid="{CC447A86-04AB-480A-BCE9-6BB239A91813}"/>
    <cellStyle name="20% - Accent6 4" xfId="18" xr:uid="{8B740B80-703A-4380-BF5A-A8113F044C11}"/>
    <cellStyle name="20% - Colore 1" xfId="19" xr:uid="{CB6EEF9A-08E0-495D-BF7B-C675B21BBD3D}"/>
    <cellStyle name="20% - Colore 2" xfId="20" xr:uid="{64D5FA37-E3D0-435F-A7D7-97D5084B22A7}"/>
    <cellStyle name="20% - Colore 3" xfId="21" xr:uid="{E8D16C14-BB69-4557-9DA8-5948C73A276D}"/>
    <cellStyle name="20% - Colore 4" xfId="22" xr:uid="{6E1122F7-0DA4-4259-9120-18709A793F2E}"/>
    <cellStyle name="20% - Colore 5" xfId="23" xr:uid="{041943E1-3283-43C1-A285-551C12638205}"/>
    <cellStyle name="20% - Colore 6" xfId="24" xr:uid="{CF0309D1-3425-43F4-B00A-D1E4FE188B54}"/>
    <cellStyle name="40% - Accent1 2" xfId="25" xr:uid="{AD06D300-D935-4BDE-92D2-AC90B8578D43}"/>
    <cellStyle name="40% - Accent1 3" xfId="26" xr:uid="{4E18CB48-D6F9-4553-9E17-5244DA667D02}"/>
    <cellStyle name="40% - Accent1 4" xfId="27" xr:uid="{87469B95-446D-4263-9DFF-EB1A994597FA}"/>
    <cellStyle name="40% - Accent2 2" xfId="28" xr:uid="{9820C35B-F2DC-4CBC-8A6D-B32EB88E55C3}"/>
    <cellStyle name="40% - Accent2 3" xfId="29" xr:uid="{2AE9B0D7-C489-4A81-92C5-B192B64A86EA}"/>
    <cellStyle name="40% - Accent2 4" xfId="30" xr:uid="{836AEA3E-8BF6-4074-8C5C-D109EC5EA7D7}"/>
    <cellStyle name="40% - Accent3 2" xfId="31" xr:uid="{A0C16227-C214-4A93-9B14-974D693A524D}"/>
    <cellStyle name="40% - Accent3 3" xfId="32" xr:uid="{6D1731C4-CAC9-44F0-8DC0-4ECD694FC858}"/>
    <cellStyle name="40% - Accent3 4" xfId="33" xr:uid="{209DC785-2292-47D8-AD83-FC9E9E3C04F0}"/>
    <cellStyle name="40% - Accent4 2" xfId="34" xr:uid="{4CF96078-ED72-4CD8-B8D0-C7BC8208CBEC}"/>
    <cellStyle name="40% - Accent4 3" xfId="35" xr:uid="{C3E4B10E-37D2-46D1-9723-64E655BDC4D6}"/>
    <cellStyle name="40% - Accent4 4" xfId="36" xr:uid="{2C8BF777-6786-416D-9F40-DF31A75E09C2}"/>
    <cellStyle name="40% - Accent5 2" xfId="37" xr:uid="{50142987-4627-4E23-A49B-E962D750C154}"/>
    <cellStyle name="40% - Accent5 3" xfId="38" xr:uid="{D57EB370-6207-4E4A-BEF8-3198703BF98E}"/>
    <cellStyle name="40% - Accent5 4" xfId="39" xr:uid="{34FEEC76-3815-4033-939E-F2C2D5378406}"/>
    <cellStyle name="40% - Accent6 2" xfId="40" xr:uid="{A2F33893-1DF2-4112-9E6F-81EE421C7F53}"/>
    <cellStyle name="40% - Accent6 3" xfId="41" xr:uid="{70DF1333-C64C-4894-8B92-1A67E01BF173}"/>
    <cellStyle name="40% - Accent6 4" xfId="42" xr:uid="{479B8B1E-5C48-4417-AAAF-BAD94CDB5FF4}"/>
    <cellStyle name="40% - Colore 1" xfId="43" xr:uid="{77008015-2AC7-422E-9E81-AAF3F2590594}"/>
    <cellStyle name="40% - Colore 2" xfId="44" xr:uid="{715CF85E-5722-496E-B7DF-DABE4A3A6CF6}"/>
    <cellStyle name="40% - Colore 3" xfId="45" xr:uid="{6C213226-7595-40E5-9F8C-80171618A879}"/>
    <cellStyle name="40% - Colore 4" xfId="46" xr:uid="{F8AF5537-4867-4827-B91F-564202B252CB}"/>
    <cellStyle name="40% - Colore 5" xfId="47" xr:uid="{3C028453-4E50-40A5-A4AE-194B4EE699A1}"/>
    <cellStyle name="40% - Colore 6" xfId="48" xr:uid="{9DF7DAF1-7C8F-40D7-A0F9-D101342A2C7D}"/>
    <cellStyle name="60% - Accent1 2" xfId="49" xr:uid="{E07BCDC4-D2C5-42DA-9676-49407C8B1A97}"/>
    <cellStyle name="60% - Accent1 3" xfId="50" xr:uid="{925103B2-D858-4EA8-A870-247E1B750762}"/>
    <cellStyle name="60% - Accent1 4" xfId="51" xr:uid="{C235B5FD-9AF3-4703-9D04-9E0DBA0B688C}"/>
    <cellStyle name="60% - Accent2 2" xfId="52" xr:uid="{3ABD145A-AD3A-4F1C-ADB9-30CC68F6C330}"/>
    <cellStyle name="60% - Accent2 3" xfId="53" xr:uid="{55C6F8B1-254B-43DF-AAE4-AB29C54A1EE8}"/>
    <cellStyle name="60% - Accent2 4" xfId="54" xr:uid="{DDE1C86C-60FA-4EEA-8131-A5B8734B1452}"/>
    <cellStyle name="60% - Accent3 2" xfId="55" xr:uid="{76076DEE-AC02-4977-A688-689BD1DF5B74}"/>
    <cellStyle name="60% - Accent3 3" xfId="56" xr:uid="{8943ACFD-E714-49AC-9FEA-112FF336542F}"/>
    <cellStyle name="60% - Accent3 4" xfId="57" xr:uid="{6653369E-632C-4511-9914-FC4FEEEE824B}"/>
    <cellStyle name="60% - Accent4 2" xfId="58" xr:uid="{8D53796A-A266-48D8-B19C-5E67878205DD}"/>
    <cellStyle name="60% - Accent4 3" xfId="59" xr:uid="{869EA35D-2B8F-452E-90FC-27855846BB51}"/>
    <cellStyle name="60% - Accent4 4" xfId="60" xr:uid="{F78C7AC5-EA05-4967-BC76-FADBC0DD894C}"/>
    <cellStyle name="60% - Accent5 2" xfId="61" xr:uid="{FE988616-EF16-4DA7-A21F-074402060FF1}"/>
    <cellStyle name="60% - Accent5 3" xfId="62" xr:uid="{9B39129C-91BE-499B-84E4-A09D71181949}"/>
    <cellStyle name="60% - Accent5 4" xfId="63" xr:uid="{9A3C07F8-6F6C-4054-884F-235407DE287B}"/>
    <cellStyle name="60% - Accent6 2" xfId="64" xr:uid="{0E5D411E-0A38-4560-B0BD-241F7A14E5A3}"/>
    <cellStyle name="60% - Accent6 3" xfId="65" xr:uid="{80B6564B-9610-49FD-B4C6-52EE95730471}"/>
    <cellStyle name="60% - Accent6 4" xfId="66" xr:uid="{68A538A8-E0F8-4615-8C73-1D588C600CE1}"/>
    <cellStyle name="60% - Colore 1" xfId="67" xr:uid="{D5EB967A-6CAA-48CB-82CC-02DA6E074A60}"/>
    <cellStyle name="60% - Colore 2" xfId="68" xr:uid="{F482F4AD-ABF5-45C6-9F90-B2EE02247C81}"/>
    <cellStyle name="60% - Colore 3" xfId="69" xr:uid="{9EC581FA-0A8A-4953-8538-8815E9DBAAB4}"/>
    <cellStyle name="60% - Colore 4" xfId="70" xr:uid="{5C34834F-40F1-4BFE-8D9F-277E4F1576C3}"/>
    <cellStyle name="60% - Colore 5" xfId="71" xr:uid="{D432E005-3C59-47FD-B701-FBC2D525D4C0}"/>
    <cellStyle name="60% - Colore 6" xfId="72" xr:uid="{E92DA0E0-C50E-4748-B47E-1F803DF75253}"/>
    <cellStyle name="Accent1 2" xfId="73" xr:uid="{149961B4-CC26-44D5-BA32-29FCD01F9677}"/>
    <cellStyle name="Accent1 3" xfId="74" xr:uid="{09277583-6DC4-4296-A47F-4BB571B637A5}"/>
    <cellStyle name="Accent1 4" xfId="75" xr:uid="{77AB0FC3-187B-42B6-8D47-FB98F5EE396B}"/>
    <cellStyle name="Accent2 2" xfId="76" xr:uid="{87907F06-5262-42DD-898C-82D889FE1731}"/>
    <cellStyle name="Accent2 3" xfId="77" xr:uid="{DAD8FA3D-8F76-4AE7-920B-808486101FE0}"/>
    <cellStyle name="Accent2 4" xfId="78" xr:uid="{BBEE510A-C434-4973-BEC2-D8C29FAD6B8B}"/>
    <cellStyle name="Accent3 2" xfId="79" xr:uid="{7548A1C4-9604-4CAD-81EB-39ECFE1539DE}"/>
    <cellStyle name="Accent3 3" xfId="80" xr:uid="{AC94F5F1-7F9B-4F72-8103-A323753D917C}"/>
    <cellStyle name="Accent3 4" xfId="81" xr:uid="{6C276053-CEF6-4F4D-A709-B49F1BFA3380}"/>
    <cellStyle name="Accent4 2" xfId="82" xr:uid="{AFB06151-5C12-4B5A-9D63-8A659608E3E6}"/>
    <cellStyle name="Accent4 3" xfId="83" xr:uid="{8A41288E-2786-41F6-A7F2-B55D15D6E0ED}"/>
    <cellStyle name="Accent4 4" xfId="84" xr:uid="{7D70F7DC-7402-4B1C-9C3D-5C25534CCE84}"/>
    <cellStyle name="Accent5 2" xfId="85" xr:uid="{7820BF75-14B4-409B-8917-62C610D83494}"/>
    <cellStyle name="Accent5 3" xfId="86" xr:uid="{FD88DD05-EEF2-4DD2-BD6E-B46A0E413689}"/>
    <cellStyle name="Accent5 4" xfId="87" xr:uid="{2C613192-38C4-460D-B164-D82F897286C8}"/>
    <cellStyle name="Accent6 2" xfId="88" xr:uid="{95B41508-21BE-4164-AAC5-ECE99C4C04EE}"/>
    <cellStyle name="Accent6 3" xfId="89" xr:uid="{6F36C6CE-0500-458D-A8F4-CBCE4A971A50}"/>
    <cellStyle name="Accent6 4" xfId="90" xr:uid="{7678474C-3596-4699-9794-51DF2AB49DEA}"/>
    <cellStyle name="Bad 2" xfId="91" xr:uid="{75710043-C4EB-46C7-89C9-F2B0ECBCC629}"/>
    <cellStyle name="Bad 3" xfId="92" xr:uid="{E9C01A0B-777D-40A9-8190-367746A7C682}"/>
    <cellStyle name="Bad 4" xfId="93" xr:uid="{1FB798F6-748D-4B93-9FAA-C3FA51DB4299}"/>
    <cellStyle name="black center" xfId="94" xr:uid="{5177F426-3A2D-422B-BDA5-A56B13FD573C}"/>
    <cellStyle name="Calc Currency (0)" xfId="95" xr:uid="{B5EAEBFE-26D9-476C-90D5-A8E2574B61C0}"/>
    <cellStyle name="Calc Currency (2)" xfId="96" xr:uid="{388DBA45-4A04-4A32-9406-C603C93240EE}"/>
    <cellStyle name="Calc Percent (0)" xfId="97" xr:uid="{81746C9C-8A2C-43D1-90DF-C03DD45714FC}"/>
    <cellStyle name="Calc Percent (1)" xfId="98" xr:uid="{2AF9EAB1-9B9B-4799-9340-B912EC98DFC1}"/>
    <cellStyle name="Calc Percent (2)" xfId="99" xr:uid="{5FF5326A-5716-4BAA-9C08-020C4D059A73}"/>
    <cellStyle name="Calc Units (0)" xfId="100" xr:uid="{40142A2D-3CDA-4D5C-8EC9-A1078BF6C4CC}"/>
    <cellStyle name="Calc Units (1)" xfId="101" xr:uid="{12E7EE2E-7A12-4032-816E-34C6630779D1}"/>
    <cellStyle name="Calc Units (1) 2" xfId="102" xr:uid="{9BBD5CA8-792F-4AF8-99BC-733D391A767D}"/>
    <cellStyle name="Calc Units (2)" xfId="103" xr:uid="{1EE7A055-0F75-4F97-86A6-4AFA3111EFCE}"/>
    <cellStyle name="Calcolo" xfId="104" xr:uid="{40B168E5-AAB3-4E60-8CD8-75A9F38DF912}"/>
    <cellStyle name="Calculation 2" xfId="105" xr:uid="{FBD1B28B-8A35-4AE4-A8BD-8536A09CB8FD}"/>
    <cellStyle name="Calculation 3" xfId="106" xr:uid="{F297C150-745E-4126-9C55-BA5010D00894}"/>
    <cellStyle name="Calculation 4" xfId="107" xr:uid="{ED897BDB-71DA-4DEB-A0CF-E7D492673940}"/>
    <cellStyle name="Cella collegata" xfId="108" xr:uid="{3B3BB928-1ACF-4BA4-A894-E3003005D7ED}"/>
    <cellStyle name="Cella da controllare" xfId="109" xr:uid="{F761AF3B-7520-43B6-B7B0-36C276A2B16F}"/>
    <cellStyle name="Check Cell 2" xfId="110" xr:uid="{A8E72745-A256-445C-A1AD-E22ADBDA51A1}"/>
    <cellStyle name="Check Cell 3" xfId="111" xr:uid="{D09C128E-8745-4BB3-AD87-B169BD010C41}"/>
    <cellStyle name="Check Cell 4" xfId="112" xr:uid="{627A823F-117B-4117-B952-3FF5D7FA29B2}"/>
    <cellStyle name="Colore 1" xfId="113" xr:uid="{3EFA443A-F5A9-411A-88B1-8286634C2FA0}"/>
    <cellStyle name="Colore 2" xfId="114" xr:uid="{59AB637A-60C1-40EB-AFE9-D75288176B74}"/>
    <cellStyle name="Colore 3" xfId="115" xr:uid="{267C83A1-E04C-4314-949F-0F305D86DD10}"/>
    <cellStyle name="Colore 4" xfId="116" xr:uid="{83E00975-5272-4169-9B40-01869446B784}"/>
    <cellStyle name="Colore 5" xfId="117" xr:uid="{A9B5BE2C-70A0-451C-B753-682B0BBC9AFB}"/>
    <cellStyle name="Colore 6" xfId="118" xr:uid="{7CCAA1AF-BA35-4A9C-BF70-6B97ECD2A3A3}"/>
    <cellStyle name="Comma  - Style1" xfId="119" xr:uid="{64E86286-0BDD-4F64-84E2-E70315BA8CB1}"/>
    <cellStyle name="Comma  - Style2" xfId="120" xr:uid="{DD2B9A52-6912-4B5B-AD0E-F6E7A83CC954}"/>
    <cellStyle name="Comma  - Style3" xfId="121" xr:uid="{F002268E-CBCD-4024-8DB1-A8901218EA30}"/>
    <cellStyle name="Comma  - Style4" xfId="122" xr:uid="{D5EEFBA2-A882-49BD-89AC-7ADC12F81AC9}"/>
    <cellStyle name="Comma  - Style5" xfId="123" xr:uid="{01D91326-6DD0-4EF0-94BA-B43348A81007}"/>
    <cellStyle name="Comma  - Style6" xfId="124" xr:uid="{DC0F4CB0-4DCD-45F7-BE14-6AC52B91EF32}"/>
    <cellStyle name="Comma  - Style7" xfId="125" xr:uid="{29CAFDF4-CB80-4C77-A61D-35A3E4D95632}"/>
    <cellStyle name="Comma  - Style8" xfId="126" xr:uid="{65E58089-7A27-4644-B8EF-36FABFB4A3F9}"/>
    <cellStyle name="Comma [0] 2" xfId="127" xr:uid="{965126BD-CAFA-4260-B587-C1463419CCC8}"/>
    <cellStyle name="Comma [00]" xfId="128" xr:uid="{13718EA4-E274-4EE4-BF6A-C8D66E77A233}"/>
    <cellStyle name="Comma 10" xfId="129" xr:uid="{161F9080-06D9-4E0E-BAC9-5503DBA431BC}"/>
    <cellStyle name="Comma 10 2" xfId="130" xr:uid="{C45344B4-90C2-4AAC-86E9-B73E2B2E31DD}"/>
    <cellStyle name="Comma 10 3" xfId="131" xr:uid="{B76B672A-98AC-4D00-967E-E8BA8AEC9CB2}"/>
    <cellStyle name="Comma 11" xfId="132" xr:uid="{AA180C10-9058-4636-90F9-9B34077F00BF}"/>
    <cellStyle name="Comma 11 2" xfId="133" xr:uid="{B7B1C93F-ABE5-4235-8ACB-D238341FCAC6}"/>
    <cellStyle name="Comma 12" xfId="134" xr:uid="{90F3A51A-A1FD-4F12-9651-C537759ED74E}"/>
    <cellStyle name="Comma 12 2" xfId="135" xr:uid="{1670D6E2-8494-480B-BB8A-32940A098F70}"/>
    <cellStyle name="Comma 13" xfId="136" xr:uid="{805CE945-49CA-450C-8589-D353E40BB034}"/>
    <cellStyle name="Comma 13 2" xfId="137" xr:uid="{61252D4A-1954-4A86-A985-BEDE0B12B51D}"/>
    <cellStyle name="Comma 14" xfId="138" xr:uid="{B9B00BFA-0C12-4D0D-87AB-4299A5E1523B}"/>
    <cellStyle name="Comma 14 2" xfId="139" xr:uid="{6C2ABF21-38D6-4E97-A296-E5F413D04675}"/>
    <cellStyle name="Comma 15" xfId="140" xr:uid="{2550721B-D128-47CB-84DC-ACB5780BE909}"/>
    <cellStyle name="Comma 15 2" xfId="141" xr:uid="{9E75BD8C-6C1E-4D22-8410-0A5BC3C50A69}"/>
    <cellStyle name="Comma 16" xfId="142" xr:uid="{34FFEAD9-AD8E-4F7D-B1EB-76E4048BFC20}"/>
    <cellStyle name="Comma 16 2" xfId="143" xr:uid="{FB6D3566-8F0F-49D3-BF12-039FBFB45997}"/>
    <cellStyle name="Comma 17" xfId="144" xr:uid="{F416337A-C184-48AB-95CC-5E6A71F748F6}"/>
    <cellStyle name="Comma 18" xfId="145" xr:uid="{24DA5676-4955-4CA3-B60D-3921509CA9BA}"/>
    <cellStyle name="Comma 19" xfId="146" xr:uid="{0891F3FB-ABDC-4210-A05D-FF5B12A5A2E4}"/>
    <cellStyle name="Comma 2" xfId="147" xr:uid="{9F3A8465-C177-4E01-9129-7C50CF98850D}"/>
    <cellStyle name="Comma 2 2" xfId="148" xr:uid="{C6964B81-5228-46F2-93D9-EA6C5D06F94A}"/>
    <cellStyle name="Comma 2 2 2" xfId="149" xr:uid="{7E67539D-9278-4B10-B0F9-79451EB0FB75}"/>
    <cellStyle name="Comma 2 2 2 2" xfId="150" xr:uid="{1618F804-6AA5-4649-B485-EC8DE833FA92}"/>
    <cellStyle name="Comma 2 2 3" xfId="151" xr:uid="{A8F7AC3E-F701-4DC3-AE68-C6A26A728EB6}"/>
    <cellStyle name="Comma 2 3" xfId="152" xr:uid="{50BFB1C3-E4A0-4C38-83B7-DA36FF3956CF}"/>
    <cellStyle name="Comma 2 3 2" xfId="153" xr:uid="{CB8E5276-717F-4A62-8C29-C24913ACB8D7}"/>
    <cellStyle name="Comma 2 4" xfId="154" xr:uid="{5EB691BF-BC06-4239-85A4-9BC03D1D48B1}"/>
    <cellStyle name="Comma 2 5" xfId="155" xr:uid="{86284892-5AC7-4B04-9686-D8C58C7A514D}"/>
    <cellStyle name="Comma 2 6" xfId="156" xr:uid="{25B0D04F-227C-4456-9CE6-DCB13A59F234}"/>
    <cellStyle name="Comma 2 7" xfId="157" xr:uid="{A4BEB023-00DE-4D2A-B6F5-678AE9218D55}"/>
    <cellStyle name="Comma 2 8" xfId="158" xr:uid="{59C21441-B144-4028-8009-0C1DBB824599}"/>
    <cellStyle name="Comma 20" xfId="159" xr:uid="{C271FABC-D95D-4A65-84F6-63B9F2D93A29}"/>
    <cellStyle name="Comma 21" xfId="160" xr:uid="{2857B9DB-45F7-4363-8ABE-88A624926616}"/>
    <cellStyle name="Comma 22" xfId="161" xr:uid="{DF8F25FF-2657-4886-B959-505D30865751}"/>
    <cellStyle name="Comma 23" xfId="162" xr:uid="{67C8011A-7C6E-402F-BB0D-F6A26CC831E7}"/>
    <cellStyle name="Comma 24" xfId="163" xr:uid="{924B8754-C277-4A32-9A0C-B89392E9FD92}"/>
    <cellStyle name="Comma 25" xfId="164" xr:uid="{EC5D25B5-9B22-42E0-8CCA-37306F8AD762}"/>
    <cellStyle name="Comma 26" xfId="165" xr:uid="{ED8CF9A2-B8F5-423C-ACE6-B37A393F955B}"/>
    <cellStyle name="Comma 27" xfId="166" xr:uid="{14B99553-1F6D-4E1D-9218-680367B36FEB}"/>
    <cellStyle name="Comma 28" xfId="167" xr:uid="{8CC22411-888D-4070-A97B-B13B719757E4}"/>
    <cellStyle name="Comma 29" xfId="168" xr:uid="{AD9E8DAB-F268-4391-8BBA-1BE46AE98A8D}"/>
    <cellStyle name="Comma 3" xfId="169" xr:uid="{9DFADAA4-4484-41CB-9305-98BC481D12B0}"/>
    <cellStyle name="Comma 3 2" xfId="170" xr:uid="{E0CED353-B94A-411F-9D06-C825E0823CD1}"/>
    <cellStyle name="Comma 3 2 2" xfId="171" xr:uid="{EC56E127-0FF3-4F32-AEC4-24B8B7025362}"/>
    <cellStyle name="Comma 3 2 3" xfId="172" xr:uid="{692649F2-19BE-4D70-9F7D-3F84918B4E5E}"/>
    <cellStyle name="Comma 3 3" xfId="173" xr:uid="{5BF67ADC-E55A-4971-82A4-2AC583ED3C22}"/>
    <cellStyle name="Comma 3 4" xfId="174" xr:uid="{3D300625-D395-4B07-A288-2C65D034B4DB}"/>
    <cellStyle name="Comma 3 5" xfId="175" xr:uid="{4F0F4463-4C04-465D-B79A-EB9E6A2F39C5}"/>
    <cellStyle name="Comma 3 6" xfId="176" xr:uid="{F0D38D64-06C8-46F8-BFE0-B2A8551CAFA3}"/>
    <cellStyle name="Comma 3 7" xfId="177" xr:uid="{21DD5E64-F846-4FAE-96E7-25A134ADA79B}"/>
    <cellStyle name="Comma 3 8" xfId="178" xr:uid="{79991CCF-E40B-488E-B88D-1CE693DEEA68}"/>
    <cellStyle name="Comma 3 9" xfId="179" xr:uid="{FF63ACB6-750D-48B0-8257-2774AF717E76}"/>
    <cellStyle name="Comma 30" xfId="180" xr:uid="{B9EAC6FD-CF40-42C2-BE06-B63BB5846E80}"/>
    <cellStyle name="Comma 31" xfId="181" xr:uid="{80872C1D-1153-471D-B4C0-6CDE8C92A51E}"/>
    <cellStyle name="Comma 31 2" xfId="182" xr:uid="{AB805C04-FC6C-4626-85A2-784D10EE5CDC}"/>
    <cellStyle name="Comma 32" xfId="183" xr:uid="{0351B4F7-0B5E-4FBD-9738-4641B4576A18}"/>
    <cellStyle name="Comma 32 2" xfId="184" xr:uid="{F38E9458-9E11-4FFB-94B3-A28842FC5D43}"/>
    <cellStyle name="Comma 33" xfId="185" xr:uid="{6ED7311C-2BB0-455C-B4D9-F5E9C1859D5A}"/>
    <cellStyle name="Comma 33 2" xfId="186" xr:uid="{2BFC51A2-2EF8-4A62-A8A5-11DABA0946ED}"/>
    <cellStyle name="Comma 34" xfId="187" xr:uid="{07E85553-2B71-4DAD-9CE6-FF35F6D59FC8}"/>
    <cellStyle name="Comma 35" xfId="188" xr:uid="{DFFF10D5-1E27-4934-8DAE-3D32F691AABF}"/>
    <cellStyle name="Comma 35 2" xfId="189" xr:uid="{5DA237B5-8B78-4656-9F83-7BEF8BF14BF2}"/>
    <cellStyle name="Comma 36" xfId="190" xr:uid="{08D10B32-F60D-424B-ABAA-8745E5A48202}"/>
    <cellStyle name="Comma 36 2" xfId="191" xr:uid="{8F8C025B-B0BC-4983-9C07-37CA7F0D0221}"/>
    <cellStyle name="Comma 37" xfId="192" xr:uid="{4307CD68-6A00-42FA-B964-990D1FA359C1}"/>
    <cellStyle name="Comma 37 2" xfId="193" xr:uid="{FC39EF61-6C8E-4C11-B40C-21445FAB789C}"/>
    <cellStyle name="Comma 38" xfId="194" xr:uid="{FD005AC0-E296-439B-8469-1883FE9E27ED}"/>
    <cellStyle name="Comma 39" xfId="195" xr:uid="{31BA9AD8-4C9D-48D5-916D-5B8716B11391}"/>
    <cellStyle name="Comma 4" xfId="196" xr:uid="{017266DA-EB5C-4303-ACB9-D0D02ABB7681}"/>
    <cellStyle name="Comma 4 2" xfId="197" xr:uid="{28E04820-1EAC-46F5-AF5D-21D2B2B5125D}"/>
    <cellStyle name="Comma 4 2 2" xfId="198" xr:uid="{EDFF9F82-EEED-46BA-A46F-907ED56A4267}"/>
    <cellStyle name="Comma 4 2 3" xfId="199" xr:uid="{0B262F65-236D-4494-90CA-B8164ECCD6A4}"/>
    <cellStyle name="Comma 4 2 4" xfId="200" xr:uid="{393C0F97-B315-4CE0-AB0C-681435FF1690}"/>
    <cellStyle name="Comma 4 3" xfId="201" xr:uid="{ED2C58EA-EE1C-4A09-B8EB-7728F1C55D12}"/>
    <cellStyle name="Comma 4 3 2" xfId="202" xr:uid="{4AA1F1AB-1D49-4375-9932-E5F40699FEE6}"/>
    <cellStyle name="Comma 4 3 3" xfId="203" xr:uid="{C5FD99D4-F568-4269-97FD-2388FF245ADF}"/>
    <cellStyle name="Comma 4 3 4" xfId="204" xr:uid="{C099DAEC-86CD-4745-AB1B-4053EF215651}"/>
    <cellStyle name="Comma 4 4" xfId="205" xr:uid="{A4B55781-1529-4293-A7DF-2E9D69CB68BE}"/>
    <cellStyle name="Comma 4 4 2" xfId="206" xr:uid="{83E54A22-B188-497A-BF3D-1A68D0F5A0C8}"/>
    <cellStyle name="Comma 4 4 3" xfId="207" xr:uid="{0E7692AF-5B9A-4773-A00B-B2CC2DF5BECA}"/>
    <cellStyle name="Comma 4 4 4" xfId="208" xr:uid="{A51D086F-1A72-4043-A13B-C2A82939C99F}"/>
    <cellStyle name="Comma 4 5" xfId="209" xr:uid="{2BA75FE3-20CA-4DDF-98D5-C504075D1A22}"/>
    <cellStyle name="Comma 4 5 2" xfId="210" xr:uid="{B9A2F148-F08C-4DB2-B9D8-6B0EDD02B831}"/>
    <cellStyle name="Comma 4 6" xfId="211" xr:uid="{99A8BB53-3494-4828-AD94-A189B5429CB3}"/>
    <cellStyle name="Comma 4 6 2" xfId="212" xr:uid="{8695B844-640B-415C-820D-BC221E85C4C8}"/>
    <cellStyle name="Comma 4 6 3" xfId="213" xr:uid="{61ED97E1-0225-4EAA-94F6-C214CDADAF1E}"/>
    <cellStyle name="Comma 4 7" xfId="214" xr:uid="{D071BDD7-27ED-41F5-8F9A-7ACD210448FB}"/>
    <cellStyle name="Comma 4 8" xfId="215" xr:uid="{E47CAB9B-A62D-4008-A15B-0C1A3FF3C04E}"/>
    <cellStyle name="Comma 4 9" xfId="216" xr:uid="{5C103CDB-B56F-472D-B3BF-354DD7038780}"/>
    <cellStyle name="Comma 40" xfId="217" xr:uid="{A8879E1B-693F-4186-8D26-39A7BE69EB58}"/>
    <cellStyle name="Comma 41" xfId="218" xr:uid="{AAE7A8B8-3B53-4B1A-8D8B-60B9E728A87B}"/>
    <cellStyle name="Comma 42" xfId="219" xr:uid="{77B6F587-06E0-4F38-B3EA-5F17660D2760}"/>
    <cellStyle name="Comma 43" xfId="220" xr:uid="{E1EDEE4E-8214-4512-AE63-7853DB624F4F}"/>
    <cellStyle name="Comma 44" xfId="221" xr:uid="{53D3226C-20B7-43A9-900B-F83CC325C67E}"/>
    <cellStyle name="Comma 5" xfId="222" xr:uid="{0ECF6540-C65A-462D-9F09-9C112D1A6871}"/>
    <cellStyle name="Comma 5 10" xfId="223" xr:uid="{FD16A23E-08E9-4980-9C4E-71D91975B479}"/>
    <cellStyle name="Comma 5 11" xfId="224" xr:uid="{7CF0CFDA-454B-4944-A23C-1B3F6AA574B8}"/>
    <cellStyle name="Comma 5 12" xfId="225" xr:uid="{80D50651-9B8B-46C8-AAEF-AB784BF04AFA}"/>
    <cellStyle name="Comma 5 2" xfId="226" xr:uid="{D69477F2-2694-4E51-B277-4BF1353DB369}"/>
    <cellStyle name="Comma 5 2 2" xfId="227" xr:uid="{6B6EC09D-9E58-4858-8847-B9D49DE039B6}"/>
    <cellStyle name="Comma 5 2 3" xfId="228" xr:uid="{D926DCD9-B142-4FDD-8988-96D464C1D564}"/>
    <cellStyle name="Comma 5 2 4" xfId="229" xr:uid="{4C96E715-19EE-4F52-9B95-CD211E162C36}"/>
    <cellStyle name="Comma 5 3" xfId="230" xr:uid="{37F64977-6D5D-4E40-945C-07A4E0F2AA0F}"/>
    <cellStyle name="Comma 5 3 2" xfId="231" xr:uid="{E7616496-7337-42AD-9ABD-825C3DC81C45}"/>
    <cellStyle name="Comma 5 4" xfId="232" xr:uid="{56495E56-5A73-4783-9241-1197F9A78564}"/>
    <cellStyle name="Comma 5 4 2" xfId="233" xr:uid="{DEE04C0A-83B5-4AA8-A98A-0E7F24D43DF0}"/>
    <cellStyle name="Comma 5 5" xfId="234" xr:uid="{0728534D-2220-41EE-BE85-361762468EFC}"/>
    <cellStyle name="Comma 5 5 2" xfId="235" xr:uid="{10F0469E-C09D-4B7A-908A-21ECBDFA956D}"/>
    <cellStyle name="Comma 5 6" xfId="236" xr:uid="{592456E8-CEF1-4451-A382-BBEF0BECB87F}"/>
    <cellStyle name="Comma 5 6 2" xfId="237" xr:uid="{9C66131A-C8A6-4832-8C86-1E4A43EF6DF2}"/>
    <cellStyle name="Comma 5 7" xfId="238" xr:uid="{F4565173-E1A6-4DF7-8618-87EB889E5CA7}"/>
    <cellStyle name="Comma 5 7 2" xfId="239" xr:uid="{3257A702-0883-451D-991C-669733E3004B}"/>
    <cellStyle name="Comma 5 7 3" xfId="240" xr:uid="{75B83A64-A74C-4016-9A3F-985A05668FB0}"/>
    <cellStyle name="Comma 5 8" xfId="241" xr:uid="{868A1DC9-75DA-48EF-AF2A-FC67FC7E7EFA}"/>
    <cellStyle name="Comma 5 9" xfId="242" xr:uid="{AE7E4A10-047A-43CF-ADC1-4A55F4F6A45C}"/>
    <cellStyle name="Comma 6" xfId="243" xr:uid="{13476715-3867-4E0E-8835-725FEC35F6BA}"/>
    <cellStyle name="Comma 6 10" xfId="244" xr:uid="{14BD5F2C-84DD-481F-BCE4-FD0AE0AC5CE3}"/>
    <cellStyle name="Comma 6 11" xfId="245" xr:uid="{3C9845BE-FA7A-4EAD-B631-C24C2214C891}"/>
    <cellStyle name="Comma 6 12" xfId="246" xr:uid="{6384F957-5B65-4F6E-B29A-0920187ABA4C}"/>
    <cellStyle name="Comma 6 13" xfId="247" xr:uid="{7103A4C5-1ED1-480F-873E-C50C180E7599}"/>
    <cellStyle name="Comma 6 2" xfId="248" xr:uid="{5BDED89A-C1D2-488E-991A-1E9D5E458F99}"/>
    <cellStyle name="Comma 6 2 2" xfId="249" xr:uid="{AB44FA29-D804-468E-9BE8-63E76E3D7460}"/>
    <cellStyle name="Comma 6 2 3" xfId="250" xr:uid="{36593D0C-D07B-461F-95C9-DC5BA8444877}"/>
    <cellStyle name="Comma 6 2 4" xfId="251" xr:uid="{9E6417D8-EEBC-4F6F-8CC8-191A52583B4B}"/>
    <cellStyle name="Comma 6 3" xfId="252" xr:uid="{D4E56D22-1680-46E9-9C3E-FA950386D674}"/>
    <cellStyle name="Comma 6 3 2" xfId="253" xr:uid="{61E4F776-7212-45C0-9382-8F944CAD344A}"/>
    <cellStyle name="Comma 6 3 3" xfId="254" xr:uid="{9D719EAC-373C-4A78-B0C0-BE5598DB1D2E}"/>
    <cellStyle name="Comma 6 3 4" xfId="255" xr:uid="{07E12B3F-9F88-415E-8CC0-A7F83923B748}"/>
    <cellStyle name="Comma 6 4" xfId="256" xr:uid="{60FC6EE6-D1C8-47C7-8BBF-C01FE0AE2E3C}"/>
    <cellStyle name="Comma 6 5" xfId="257" xr:uid="{3E290626-BC65-46BF-988D-45618202F0D6}"/>
    <cellStyle name="Comma 6 5 2" xfId="258" xr:uid="{B88CC9C3-0EAE-4592-82C8-56CDF9AEACF5}"/>
    <cellStyle name="Comma 6 6" xfId="259" xr:uid="{690464C8-54E7-48D0-A652-90F5B9D56DA4}"/>
    <cellStyle name="Comma 6 6 2" xfId="260" xr:uid="{760A7BA7-4CB1-46FA-8DCA-982AEF70836E}"/>
    <cellStyle name="Comma 6 7" xfId="261" xr:uid="{5E5AE6FA-629E-4DC1-A2A4-36320BEF1B84}"/>
    <cellStyle name="Comma 6 7 2" xfId="262" xr:uid="{D7845172-57E6-4CCB-B72E-9A907A37D798}"/>
    <cellStyle name="Comma 6 8" xfId="263" xr:uid="{F6113AE0-8ABD-4E7A-8DC3-930768EBE5EE}"/>
    <cellStyle name="Comma 6 8 2" xfId="264" xr:uid="{413D7EBB-117B-4325-8DCB-0574F46A0C44}"/>
    <cellStyle name="Comma 6 9" xfId="265" xr:uid="{C9678137-EBE2-4E79-AC1B-EF62949AF315}"/>
    <cellStyle name="Comma 7" xfId="266" xr:uid="{DAF03B4B-7289-4D69-9388-A374EFCB35DD}"/>
    <cellStyle name="Comma 7 2" xfId="267" xr:uid="{B5981F73-2232-4A56-98DB-6FEABB3CBCC3}"/>
    <cellStyle name="Comma 7 2 2" xfId="268" xr:uid="{AFC41D12-3997-4777-96DA-5067EBE0F3F2}"/>
    <cellStyle name="Comma 7 2 3" xfId="269" xr:uid="{2AEF53ED-D561-4D72-AB10-B5EA93ACEABB}"/>
    <cellStyle name="Comma 7 2 4" xfId="270" xr:uid="{40C84D4D-0B5A-4D3A-B678-04604F086782}"/>
    <cellStyle name="Comma 7 3" xfId="271" xr:uid="{FF435FA9-7A42-4CCB-A196-AB6F7E286BD3}"/>
    <cellStyle name="Comma 7 4" xfId="272" xr:uid="{9F935949-1188-48C4-8591-C18900941145}"/>
    <cellStyle name="Comma 7 5" xfId="273" xr:uid="{90337B62-624B-47AA-B6F6-B053740E04A8}"/>
    <cellStyle name="Comma 7 6" xfId="274" xr:uid="{2025AE40-F9D9-4B90-8D7E-8F5CB31933ED}"/>
    <cellStyle name="Comma 7 7" xfId="275" xr:uid="{669199B7-D2E0-446E-A716-133CA5637D0C}"/>
    <cellStyle name="Comma 7 8" xfId="276" xr:uid="{6880E627-0F18-4D12-A2D3-239092752FF7}"/>
    <cellStyle name="Comma 7 9" xfId="277" xr:uid="{7304E4CF-30FA-42AF-973F-D16126762859}"/>
    <cellStyle name="Comma 8" xfId="278" xr:uid="{80C084D3-1DD1-4289-ABC4-D178830C35E2}"/>
    <cellStyle name="Comma 8 2" xfId="279" xr:uid="{DA5E9DF1-C413-4ABC-9FC5-4FEF04D8ECCB}"/>
    <cellStyle name="Comma 8 2 2" xfId="280" xr:uid="{EFDA84E0-F1A0-4863-9E9C-64CD0F286ACD}"/>
    <cellStyle name="Comma 8 3" xfId="281" xr:uid="{09906771-8D05-42F2-B760-0A1E866D998B}"/>
    <cellStyle name="Comma 8 4" xfId="282" xr:uid="{80CA3359-3C80-4F18-B348-3378825957A3}"/>
    <cellStyle name="Comma 8 5" xfId="283" xr:uid="{681CBFC8-8D0F-422D-911F-1270D3CD7994}"/>
    <cellStyle name="Comma 8 6" xfId="284" xr:uid="{376C0F6F-8418-4890-A705-5043805E5980}"/>
    <cellStyle name="Comma 8 7" xfId="285" xr:uid="{7B30427F-28B5-4E05-9AD7-186037777FC9}"/>
    <cellStyle name="Comma 8 8" xfId="286" xr:uid="{5971EA5A-A12C-4F38-8CDA-5B83FF1228DA}"/>
    <cellStyle name="Comma 9" xfId="287" xr:uid="{49627A15-59DA-40A7-B690-E78B2F62A4FF}"/>
    <cellStyle name="Comma 9 2" xfId="288" xr:uid="{A98D4EF1-5994-4B16-816F-2C58A2510DC8}"/>
    <cellStyle name="Comma 9 3" xfId="289" xr:uid="{75249431-37EF-4FD7-8457-EAD6A5036C32}"/>
    <cellStyle name="Currency [00]" xfId="290" xr:uid="{1D5D8B81-28F4-4079-A81D-9D8CB22D8907}"/>
    <cellStyle name="Currency 2" xfId="291" xr:uid="{6944A83A-CE5E-473D-A668-319219627566}"/>
    <cellStyle name="Date Short" xfId="292" xr:uid="{CC2F021A-3C78-4306-97C6-285B3F910A97}"/>
    <cellStyle name="Dezimal [0]_laroux" xfId="293" xr:uid="{2A283063-495E-427F-9F78-56BCBC083C8D}"/>
    <cellStyle name="Dezimal_laroux" xfId="294" xr:uid="{649DAE93-F3F7-474A-B763-1B1E68320AF1}"/>
    <cellStyle name="Enter Currency (0)" xfId="295" xr:uid="{5A276AAA-2817-4C79-BA1C-B7DDFC65DA4C}"/>
    <cellStyle name="Enter Currency (2)" xfId="296" xr:uid="{8B52A5B3-F1DC-45BE-8A30-B87F2B41478E}"/>
    <cellStyle name="Enter Units (0)" xfId="297" xr:uid="{DDD906E6-57BD-4458-A1CF-8EA314BA8935}"/>
    <cellStyle name="Enter Units (1)" xfId="298" xr:uid="{4192D324-C3F6-4F10-A824-50334B2F2832}"/>
    <cellStyle name="Enter Units (1) 2" xfId="299" xr:uid="{6BF2D5B1-EDB8-42E4-958F-220BB569EAE7}"/>
    <cellStyle name="Enter Units (2)" xfId="300" xr:uid="{1CA4CAA9-4AF8-40CC-B5B2-1677C13205C8}"/>
    <cellStyle name="Euro" xfId="301" xr:uid="{6479775C-324F-4B49-AED5-68B770AE3128}"/>
    <cellStyle name="Explanatory Text 2" xfId="302" xr:uid="{C87BF646-665C-4905-BFFE-FFDC90C0BC5C}"/>
    <cellStyle name="Explanatory Text 3" xfId="303" xr:uid="{C08FCAEB-A7FF-4635-AAC1-2128DE63BF78}"/>
    <cellStyle name="Explanatory Text 4" xfId="304" xr:uid="{AFB674B0-8C2E-42D9-AD24-5F5A8F3DA655}"/>
    <cellStyle name="Följde hyperlänken_VERA" xfId="305" xr:uid="{305BD95D-603F-4BAC-82CA-0DDF144C9809}"/>
    <cellStyle name="form500" xfId="306" xr:uid="{53080A77-7C51-439A-B746-66F05EA4D15A}"/>
    <cellStyle name="Good 2" xfId="307" xr:uid="{108719B8-2190-46DF-A5E0-710446333968}"/>
    <cellStyle name="Good 3" xfId="308" xr:uid="{465B08EF-CF68-4F14-8049-DB074407F703}"/>
    <cellStyle name="Good 4" xfId="309" xr:uid="{3D97D8CD-23AE-441A-A382-17D2BBC4C7E4}"/>
    <cellStyle name="Grey" xfId="310" xr:uid="{8978A635-9A03-4D3F-B0E2-E7E47DC55970}"/>
    <cellStyle name="Header1" xfId="311" xr:uid="{7893DF8B-8A55-431F-867C-F65D0620CDDD}"/>
    <cellStyle name="Header2" xfId="312" xr:uid="{2ED2628C-777E-4498-A5E1-09B0CECE7DE1}"/>
    <cellStyle name="Heading 1 2" xfId="313" xr:uid="{1B28732C-A162-420E-BA03-3CBB01DEA316}"/>
    <cellStyle name="Heading 1 3" xfId="314" xr:uid="{5CCD3A8A-5CE7-4352-9A68-257DFE1C1E5F}"/>
    <cellStyle name="Heading 1 4" xfId="315" xr:uid="{67653145-30D5-4AEE-937E-4BC26B85C111}"/>
    <cellStyle name="Heading 2 2" xfId="316" xr:uid="{CEAA5A72-955B-47ED-96FA-E4AB562F3E36}"/>
    <cellStyle name="Heading 2 3" xfId="317" xr:uid="{EC1B8C35-078E-44CD-879B-674163F2DB5B}"/>
    <cellStyle name="Heading 2 4" xfId="318" xr:uid="{D4905DCE-82ED-47E4-A920-727BAC5F968B}"/>
    <cellStyle name="Heading 3 2" xfId="319" xr:uid="{33C2DF7D-1465-4330-95D0-A3AFEC9E1628}"/>
    <cellStyle name="Heading 3 3" xfId="320" xr:uid="{24E0854A-9802-4C93-8CC4-5374C8525927}"/>
    <cellStyle name="Heading 3 4" xfId="321" xr:uid="{D362BFEF-6F7B-470C-917C-661D46ECB7F5}"/>
    <cellStyle name="Heading 4 2" xfId="322" xr:uid="{A937FACD-8F31-4E4E-8884-1AA563B9A60A}"/>
    <cellStyle name="Heading 4 3" xfId="323" xr:uid="{A4CAA159-B65D-4AC8-9424-F12A6A329C15}"/>
    <cellStyle name="Heading 4 4" xfId="324" xr:uid="{121AD75E-E7E7-44DD-BF3E-6844FC0F0379}"/>
    <cellStyle name="HOOFDREGEL" xfId="325" xr:uid="{DFE7A7BB-1931-4977-9E05-CCF9C00F6397}"/>
    <cellStyle name="Hyperlänk_VERA" xfId="326" xr:uid="{69EEB1F6-F339-4E75-BD64-D8448796B2C5}"/>
    <cellStyle name="Hyperlink 2" xfId="327" xr:uid="{9A90A092-E7F7-4A7D-92EA-4D02E57D82A8}"/>
    <cellStyle name="Hyperlink 2 2" xfId="328" xr:uid="{732C82A4-42DA-4EA5-8CC0-7F0D0A243CE9}"/>
    <cellStyle name="Hyperlink 3" xfId="329" xr:uid="{050CE18D-FD31-4FF3-B44B-6DD2030F9E49}"/>
    <cellStyle name="Input [yellow]" xfId="330" xr:uid="{59385A40-CCF3-4752-A8C6-AA526CBDA813}"/>
    <cellStyle name="Input 2" xfId="331" xr:uid="{A055A204-714C-489F-9183-9F01C805CC43}"/>
    <cellStyle name="Input 3" xfId="332" xr:uid="{1C69A737-0C8E-4DA7-9181-60D4F38CBD8F}"/>
    <cellStyle name="Input 4" xfId="333" xr:uid="{472BDD11-CCD5-4CEE-A145-5590AF101C99}"/>
    <cellStyle name="Input 5" xfId="334" xr:uid="{2CB89DE8-CA24-4943-B52D-9E2F620B1DC0}"/>
    <cellStyle name="inverse" xfId="335" xr:uid="{106A5010-8CA8-4502-8D43-5EEA57F735E7}"/>
    <cellStyle name="inverse links" xfId="336" xr:uid="{81D41B69-D3A6-477F-836F-E3BD184939AC}"/>
    <cellStyle name="Link Currency (0)" xfId="337" xr:uid="{AB61490F-A73F-44C5-9205-79CAEA935B9A}"/>
    <cellStyle name="Link Currency (2)" xfId="338" xr:uid="{812E110C-9AE1-48A2-BA19-147C772D3097}"/>
    <cellStyle name="Link Units (0)" xfId="339" xr:uid="{F24CFBB4-CAC7-4129-BAA8-0ED5F49C9A52}"/>
    <cellStyle name="Link Units (1)" xfId="340" xr:uid="{DE51999A-F1A7-4305-B275-F2A1B68A310C}"/>
    <cellStyle name="Link Units (1) 2" xfId="341" xr:uid="{75E223F7-67AD-4F5A-88C5-30F02AC0B1E6}"/>
    <cellStyle name="Link Units (2)" xfId="342" xr:uid="{DAF40F29-6298-478F-86AB-6158F308DD4B}"/>
    <cellStyle name="Linked Cell 2" xfId="343" xr:uid="{66A8451B-B0E2-4518-971B-083A8F79F8B8}"/>
    <cellStyle name="Linked Cell 3" xfId="344" xr:uid="{23B414E4-2368-4C96-9C3B-3C39A3ACA91B}"/>
    <cellStyle name="Linked Cell 3 2" xfId="345" xr:uid="{C0C2B6E5-5DB7-4E72-9AC0-C2F586832C89}"/>
    <cellStyle name="Linked Cell 4" xfId="346" xr:uid="{FB8C9B86-9514-4834-A85D-7DA8AA93704A}"/>
    <cellStyle name="Migliaia (0)_Cartel2" xfId="347" xr:uid="{BB4A77D6-4A74-456A-A476-D83E2047290B}"/>
    <cellStyle name="Migliaia_maggio 06" xfId="348" xr:uid="{F618BE43-2C7C-401D-B78B-ED0C3C319BAD}"/>
    <cellStyle name="Milliers" xfId="349" builtinId="3"/>
    <cellStyle name="Milliers 2" xfId="350" xr:uid="{C81D86D1-0527-4F90-B603-4CE5285F553F}"/>
    <cellStyle name="Milliers 2 2" xfId="351" xr:uid="{6E6EEF15-2CCC-4568-B69F-6D3ADCF4A37B}"/>
    <cellStyle name="Milliers 2 3" xfId="352" xr:uid="{02D9D80E-5CEE-4C26-B93C-41376EDDCF16}"/>
    <cellStyle name="Milliers 3" xfId="353" xr:uid="{DDEAF0DE-10FB-458C-9118-4A71BFE2E514}"/>
    <cellStyle name="mine" xfId="354" xr:uid="{D71ECDEE-6049-4C8F-B0C8-1587E652B8E9}"/>
    <cellStyle name="Neutral 2" xfId="355" xr:uid="{6D8E1228-FB5B-4334-9DD5-11A9ED913C3F}"/>
    <cellStyle name="Neutral 3" xfId="356" xr:uid="{2D2CDF16-9708-4B07-912F-CF6281A44194}"/>
    <cellStyle name="Neutral 4" xfId="357" xr:uid="{0F9B9ED1-33FD-4101-925A-FB408C10AE6E}"/>
    <cellStyle name="Neutrale" xfId="358" xr:uid="{FA45E457-454C-4F05-8C37-4F40860B7D69}"/>
    <cellStyle name="no dec" xfId="359" xr:uid="{9FB7AFB4-993E-4299-A9F6-B9EEF54DD4FB}"/>
    <cellStyle name="No_fiscal" xfId="360" xr:uid="{23BADC5C-E229-4698-A9FB-56A6CFD4DE52}"/>
    <cellStyle name="Normal" xfId="0" builtinId="0"/>
    <cellStyle name="Normal - Style1" xfId="361" xr:uid="{0797A244-5C57-4E6A-9FCD-323970E74124}"/>
    <cellStyle name="Normal - Style1 2" xfId="362" xr:uid="{91B16A51-D268-45DE-A1B4-2251C965E650}"/>
    <cellStyle name="Normal 10" xfId="363" xr:uid="{F1AB9A76-3C01-40BE-8337-E75E8D6A9185}"/>
    <cellStyle name="Normal 10 2" xfId="364" xr:uid="{7A459A23-83F7-4BB6-970D-816A3523D503}"/>
    <cellStyle name="Normal 10 3" xfId="365" xr:uid="{C50BDC22-988E-4128-808B-FF3432246D26}"/>
    <cellStyle name="Normal 100" xfId="366" xr:uid="{48E9BA75-91E9-4F2B-8E0B-1898674912AB}"/>
    <cellStyle name="Normal 101" xfId="367" xr:uid="{6F1266B7-53DA-4C09-BFB1-EFA7C420B682}"/>
    <cellStyle name="Normal 102" xfId="368" xr:uid="{D5B2FB6B-61E0-4770-B700-A4847DC26562}"/>
    <cellStyle name="Normal 103" xfId="369" xr:uid="{E09ED333-1A4F-4C68-A79A-C140027FE297}"/>
    <cellStyle name="Normal 104" xfId="370" xr:uid="{0A533888-6311-400C-8F05-3558FA68F637}"/>
    <cellStyle name="Normal 105" xfId="371" xr:uid="{C5277536-32D9-427E-9666-C132976F0AA4}"/>
    <cellStyle name="Normal 106" xfId="372" xr:uid="{CB31D56E-4A2F-4A9B-A66A-B7554AA2C3B3}"/>
    <cellStyle name="Normal 107" xfId="373" xr:uid="{3AA6C9CB-F81F-4CA5-B68F-3A8CE3276110}"/>
    <cellStyle name="Normal 108" xfId="374" xr:uid="{82B326D2-2B57-402E-89A3-2C609183AFFB}"/>
    <cellStyle name="Normal 108 2" xfId="375" xr:uid="{20EA15CD-A0E4-4317-94E0-8F7F73CE4C5C}"/>
    <cellStyle name="Normal 109" xfId="376" xr:uid="{C9C46D73-5F5A-477B-89B1-5706B1D19011}"/>
    <cellStyle name="Normal 11" xfId="377" xr:uid="{1E892362-B850-40D1-9B7E-8B981D57D70D}"/>
    <cellStyle name="Normal 11 2" xfId="378" xr:uid="{460A5174-B5B6-4C69-BDE6-FE449928D052}"/>
    <cellStyle name="Normal 11 3" xfId="379" xr:uid="{DD7CC582-2B5F-42C4-B8A5-0E6265ECFE43}"/>
    <cellStyle name="Normal 110" xfId="380" xr:uid="{1EC8AD5A-A9FA-446B-9EBA-D8C987FA2C54}"/>
    <cellStyle name="Normal 110 2" xfId="381" xr:uid="{AD1B12AF-DC4E-4508-8E06-EE4F29A5C07A}"/>
    <cellStyle name="Normal 111" xfId="382" xr:uid="{B6A8EA32-F7BF-472C-B3D7-06B68342213C}"/>
    <cellStyle name="Normal 112" xfId="383" xr:uid="{415F273E-9E33-45C1-9FC1-4DF468725CF5}"/>
    <cellStyle name="Normal 112 2" xfId="384" xr:uid="{E1A47B87-A4C7-4198-B57D-D112DFF7E8F6}"/>
    <cellStyle name="Normal 113" xfId="385" xr:uid="{9806693A-8BB3-4252-836D-3897EDB436A5}"/>
    <cellStyle name="Normal 113 2" xfId="386" xr:uid="{6AAFDE93-2DFD-42DB-870C-54AE6CAA9003}"/>
    <cellStyle name="Normal 114" xfId="387" xr:uid="{F2F9AFD0-4AF1-4346-A827-A95A98A59D44}"/>
    <cellStyle name="Normal 114 2" xfId="388" xr:uid="{5B4E4DB0-4511-4CD7-9805-17DCDEC78C56}"/>
    <cellStyle name="Normal 115" xfId="389" xr:uid="{B4E411A8-A37C-4D15-BAD3-775CB83622F3}"/>
    <cellStyle name="Normal 115 2" xfId="390" xr:uid="{9E172D67-7928-4CAC-8F18-3CC323AC8EAE}"/>
    <cellStyle name="Normal 116" xfId="391" xr:uid="{FA8ED4E5-9C34-432D-B05E-71C0DFE5E55D}"/>
    <cellStyle name="Normal 117" xfId="392" xr:uid="{25466150-33DD-4A0A-A646-0CE06830B821}"/>
    <cellStyle name="Normal 118" xfId="393" xr:uid="{7741D4B7-621B-49CC-8751-4F9D7D9332BA}"/>
    <cellStyle name="Normal 119" xfId="394" xr:uid="{D7AA647F-D8B7-4E75-8069-55D8AF29DD0B}"/>
    <cellStyle name="Normal 12" xfId="395" xr:uid="{E2772D2A-A7B8-4CAA-B509-40FAEA455A2D}"/>
    <cellStyle name="Normal 12 2" xfId="396" xr:uid="{AE453CDE-2A42-42BE-84FE-D7E548E27D04}"/>
    <cellStyle name="Normal 12 3" xfId="397" xr:uid="{39992948-86D3-42AE-BEFC-464EA469FAFD}"/>
    <cellStyle name="Normal 120" xfId="398" xr:uid="{82F504AA-3ADA-42E8-9897-DF0A453728D7}"/>
    <cellStyle name="Normal 121" xfId="399" xr:uid="{25495740-61B0-4137-B273-4C0190CE6F89}"/>
    <cellStyle name="Normal 122" xfId="400" xr:uid="{0BC73F0E-338E-41FC-A941-0959F0868464}"/>
    <cellStyle name="Normal 123" xfId="401" xr:uid="{300BA01E-A539-49C4-8C92-A846766C6524}"/>
    <cellStyle name="Normal 124" xfId="402" xr:uid="{D8388666-F32D-463B-8E88-DECE6516ECDA}"/>
    <cellStyle name="Normal 125" xfId="403" xr:uid="{11452132-45EE-4C40-A419-B68B9E4457C8}"/>
    <cellStyle name="Normal 13" xfId="404" xr:uid="{EDAC2940-A88C-4D9A-B49B-EDD9E6AAB51B}"/>
    <cellStyle name="Normal 13 2" xfId="405" xr:uid="{C1B705C6-0251-4A40-8B4B-D2725504A7A0}"/>
    <cellStyle name="Normal 13 3" xfId="406" xr:uid="{CA1486D4-67B3-44AC-A673-D1B2D1F1A4CC}"/>
    <cellStyle name="Normal 14" xfId="407" xr:uid="{F2D66629-444E-4584-A151-D9C0FAEEADB9}"/>
    <cellStyle name="Normal 14 2" xfId="408" xr:uid="{A5BB7D6E-707B-476B-88B9-4E331AF0849E}"/>
    <cellStyle name="Normal 14 3" xfId="409" xr:uid="{DAEC8836-5502-4051-9F90-056DF7E8F5D8}"/>
    <cellStyle name="Normal 14 3 2" xfId="410" xr:uid="{DCF1A737-DFD0-46FB-9CCC-CED489D6883B}"/>
    <cellStyle name="Normal 14 4" xfId="411" xr:uid="{F660776B-5A34-44BF-AED9-794DEA24895D}"/>
    <cellStyle name="Normal 14 4 2" xfId="412" xr:uid="{E9B5FA9A-6568-41F8-8FED-0F5E6B66653C}"/>
    <cellStyle name="Normal 14 4 3" xfId="413" xr:uid="{08E172F6-9BFE-4482-A43E-3F662D074DAE}"/>
    <cellStyle name="Normal 14 5" xfId="414" xr:uid="{E5F97D08-AE92-48E1-8E68-E2F525793121}"/>
    <cellStyle name="Normal 14 6" xfId="415" xr:uid="{F28D956E-9E5E-4FDC-81DD-BE7EEDF7CA77}"/>
    <cellStyle name="Normal 15" xfId="416" xr:uid="{63071311-EC13-41D5-8C79-72B5ADF356D7}"/>
    <cellStyle name="Normal 15 2" xfId="417" xr:uid="{B48C6364-A3DA-4DE8-BB08-836DBD6D4681}"/>
    <cellStyle name="Normal 15 3" xfId="418" xr:uid="{E658D200-BCDC-44E2-A053-9A0DDF11E6EA}"/>
    <cellStyle name="Normal 15 4" xfId="419" xr:uid="{3214020D-F24A-431E-853A-EDCA4577373A}"/>
    <cellStyle name="Normal 15 4 2" xfId="420" xr:uid="{1726ADFD-AE6C-4B76-8FD7-CD5F028F2EFA}"/>
    <cellStyle name="Normal 15 5" xfId="421" xr:uid="{13AFC604-D710-442A-AE12-FD08829CDD6D}"/>
    <cellStyle name="Normal 15 5 2" xfId="422" xr:uid="{C2D37E82-B82D-4879-9023-2143E124C37D}"/>
    <cellStyle name="Normal 15 5 3" xfId="423" xr:uid="{E8BC0FEE-DF6B-40FE-A00B-FE96573C0475}"/>
    <cellStyle name="Normal 15 6" xfId="424" xr:uid="{5A7BB37D-B6BF-4540-BDFF-994C20D2338C}"/>
    <cellStyle name="Normal 15 7" xfId="425" xr:uid="{3D3EDB63-5080-4C67-8B07-2D12118B4A23}"/>
    <cellStyle name="Normal 16" xfId="426" xr:uid="{E97817D1-CA1F-4D1D-9F51-59C9C792FE7F}"/>
    <cellStyle name="Normal 16 2" xfId="427" xr:uid="{5CFB9E2F-0D12-48E6-B1F9-9DFD1D05E394}"/>
    <cellStyle name="Normal 16 3" xfId="428" xr:uid="{4CD2C4A0-DF7B-4766-9768-58F1B3DF0F86}"/>
    <cellStyle name="Normal 17" xfId="429" xr:uid="{9B9866E1-8662-462E-BFE3-15673F7BB44B}"/>
    <cellStyle name="Normal 17 2" xfId="430" xr:uid="{3C9EFAC8-6D2D-4C51-B3DD-FE1E2FE68CDA}"/>
    <cellStyle name="Normal 17 3" xfId="431" xr:uid="{955348B7-D420-4077-B4AB-154399C0C523}"/>
    <cellStyle name="Normal 18" xfId="432" xr:uid="{88974845-F2EA-4881-B252-FA220EDA92E8}"/>
    <cellStyle name="Normal 19" xfId="433" xr:uid="{D7B3D75F-8E7C-44E6-A12C-353263A97BEB}"/>
    <cellStyle name="Normal 2" xfId="434" xr:uid="{3FEBAAFD-5039-44B8-A7AB-8129CD3363C9}"/>
    <cellStyle name="Normal 2 2" xfId="435" xr:uid="{DF6D079D-61B5-4557-8D1B-F9422423DDEA}"/>
    <cellStyle name="Normal 2 2 2" xfId="436" xr:uid="{0AA63941-BC0E-40B6-94CF-20D2EA45D274}"/>
    <cellStyle name="Normal 2 2 3" xfId="437" xr:uid="{335E3AFE-EF10-4EC6-8961-EA6CD7EB5472}"/>
    <cellStyle name="Normal 2 3" xfId="438" xr:uid="{E2FD0528-37D8-4DEF-92BB-F1F866DB56AA}"/>
    <cellStyle name="Normal 2 3 2" xfId="439" xr:uid="{5788452A-8EDB-4F7C-9732-CF0494131D5F}"/>
    <cellStyle name="Normal 2 3 3" xfId="440" xr:uid="{A3249C6C-C792-42A6-8D41-3DA52EB6A4F4}"/>
    <cellStyle name="Normal 2 4" xfId="441" xr:uid="{B6ACB04F-8E7D-42AE-8CC4-6663F30343B6}"/>
    <cellStyle name="Normal 2 5" xfId="442" xr:uid="{26EEA630-50B6-4EB0-BFF3-EECCB6DA7C2B}"/>
    <cellStyle name="Normal 2 5 2" xfId="443" xr:uid="{61590A82-2076-4A81-8422-66758C4511F9}"/>
    <cellStyle name="Normal 2 5 3" xfId="444" xr:uid="{8CDF4AA4-E600-4944-88A5-5BCE3C43684E}"/>
    <cellStyle name="Normal 2 6" xfId="445" xr:uid="{81017F48-2C34-47EE-9B6E-B1876F6BB4E7}"/>
    <cellStyle name="Normal 2 7" xfId="446" xr:uid="{392D4BA4-7809-4BD8-A35A-4E584E6EC01A}"/>
    <cellStyle name="Normal 20" xfId="447" xr:uid="{A0F7B149-E84E-46FA-9AA3-D48CBBF535E3}"/>
    <cellStyle name="Normal 20 2" xfId="448" xr:uid="{E0651A98-A804-46A2-8681-7277E97F1BCB}"/>
    <cellStyle name="Normal 20 2 2" xfId="449" xr:uid="{C484690C-5BB2-47F1-91D3-CA05987E4D60}"/>
    <cellStyle name="Normal 20 2 3" xfId="450" xr:uid="{EFD37E3E-AF54-44F5-9096-1BAE602772A4}"/>
    <cellStyle name="Normal 20 3" xfId="451" xr:uid="{F9DEA785-279B-4FAA-837B-497B09DD966B}"/>
    <cellStyle name="Normal 21" xfId="452" xr:uid="{6EE51B6E-01EE-46AC-BA4E-9941499F4068}"/>
    <cellStyle name="Normal 21 2" xfId="453" xr:uid="{4A62B9BC-2FC1-43D7-97BD-656840410955}"/>
    <cellStyle name="Normal 21 3" xfId="454" xr:uid="{752A82D6-11CA-43FE-B248-DF09A91CA45D}"/>
    <cellStyle name="Normal 21 4" xfId="455" xr:uid="{46004201-61B0-4C8F-AD61-3E5353F3A732}"/>
    <cellStyle name="Normal 22" xfId="456" xr:uid="{8AACB221-D790-46FD-84AF-DB34863F3249}"/>
    <cellStyle name="Normal 22 2" xfId="457" xr:uid="{4E5B2E64-667B-42B2-846A-B2844B20163D}"/>
    <cellStyle name="Normal 22 3" xfId="458" xr:uid="{216EE8CA-87EF-4B4C-AED4-766EA203D148}"/>
    <cellStyle name="Normal 22 3 2" xfId="459" xr:uid="{E44DD892-00AD-4E1D-AA84-D5CC22AF9A98}"/>
    <cellStyle name="Normal 22 4" xfId="460" xr:uid="{EDB03304-A83C-47CC-8693-708E27B33EB2}"/>
    <cellStyle name="Normal 22 4 2" xfId="461" xr:uid="{FC99504F-7DB0-4DCA-8473-52A6789E91A6}"/>
    <cellStyle name="Normal 22 4 3" xfId="462" xr:uid="{328A062F-B3B2-4E67-AC7F-1E8EE58368EE}"/>
    <cellStyle name="Normal 22 5" xfId="463" xr:uid="{411F842C-C6D7-4E13-85D9-E971AE00AF73}"/>
    <cellStyle name="Normal 22 6" xfId="464" xr:uid="{D09D66C9-9A3C-430D-827C-4A26AADBDBB6}"/>
    <cellStyle name="Normal 23" xfId="465" xr:uid="{6B496B7A-6CF4-4623-A563-B41436F24D34}"/>
    <cellStyle name="Normal 23 2" xfId="466" xr:uid="{FEA8F760-BACA-4E13-BF1A-AA5315C44BAB}"/>
    <cellStyle name="Normal 23 2 2" xfId="467" xr:uid="{65254FD6-44F5-487F-AAAB-C8A77DA7CD71}"/>
    <cellStyle name="Normal 23 3" xfId="468" xr:uid="{D4824DA7-F970-4827-9A7E-7DBD3F9D1DF3}"/>
    <cellStyle name="Normal 23 3 2" xfId="469" xr:uid="{0316899A-8478-45BB-B6B2-6FBFD41D06C8}"/>
    <cellStyle name="Normal 23 3 3" xfId="470" xr:uid="{86247008-BC83-48A4-861E-0A2474ADE960}"/>
    <cellStyle name="Normal 24" xfId="471" xr:uid="{1D09CBEB-0594-445E-93F8-DEAF16DAE119}"/>
    <cellStyle name="Normal 25" xfId="472" xr:uid="{2930FF8B-1141-4A2E-A6AE-1B6CF3A620CA}"/>
    <cellStyle name="Normal 25 2" xfId="473" xr:uid="{92453832-5646-4978-AB3E-95FB70F94E06}"/>
    <cellStyle name="Normal 26" xfId="474" xr:uid="{EDBBDF9C-C7B1-4BC9-B212-9C38AC1CA5E4}"/>
    <cellStyle name="Normal 26 2" xfId="475" xr:uid="{E88DF1DC-9F06-45F4-B7CC-FE01DFDD8EB8}"/>
    <cellStyle name="Normal 26 3" xfId="476" xr:uid="{6BE9CA8A-AB57-40BC-9B53-5A638796B7D5}"/>
    <cellStyle name="Normal 26 3 2" xfId="477" xr:uid="{BD6F749C-3E0C-413C-BC6C-75D317CF50AF}"/>
    <cellStyle name="Normal 26 3 3" xfId="478" xr:uid="{3E7F651A-0ED4-4211-8309-0108D1A6D0A7}"/>
    <cellStyle name="Normal 26 4" xfId="479" xr:uid="{7413C88E-D60F-45F9-A528-FFCDEF3E397B}"/>
    <cellStyle name="Normal 27" xfId="480" xr:uid="{2365D4B6-F7CB-4E3D-9E0F-5A7B23FC1542}"/>
    <cellStyle name="Normal 27 2" xfId="481" xr:uid="{6903292E-E09B-455F-976B-DB8E5604EAF3}"/>
    <cellStyle name="Normal 27 3" xfId="482" xr:uid="{483EC132-6784-41C2-93A0-12F57BAAF12E}"/>
    <cellStyle name="Normal 27 3 2" xfId="483" xr:uid="{C2515090-90F1-4269-9FC6-935BF4AC7F24}"/>
    <cellStyle name="Normal 27 3 3" xfId="484" xr:uid="{58E2BCD2-66E3-4798-A2B1-75DDEAFDFF71}"/>
    <cellStyle name="Normal 27 4" xfId="485" xr:uid="{3D7F33BF-AB56-49B4-942A-97F6092D67FD}"/>
    <cellStyle name="Normal 28" xfId="486" xr:uid="{A84C3F91-2E42-4B2E-9699-FD1F9D4165A3}"/>
    <cellStyle name="Normal 28 2" xfId="487" xr:uid="{A3EAD612-78E7-4739-860B-B6B4CF6FDB1F}"/>
    <cellStyle name="Normal 28 3" xfId="488" xr:uid="{F18F52FA-5D02-4530-AD61-35DDD8B4972B}"/>
    <cellStyle name="Normal 28 3 2" xfId="489" xr:uid="{CF4BD4F5-D432-4935-8BB0-49E234FCDA13}"/>
    <cellStyle name="Normal 28 3 3" xfId="490" xr:uid="{AE790B0E-4770-48B3-B03C-E2AD7564B729}"/>
    <cellStyle name="Normal 28 4" xfId="491" xr:uid="{EE8EAF1D-D09D-4780-8218-C9030FF512BB}"/>
    <cellStyle name="Normal 28 4 2" xfId="492" xr:uid="{CAC77E67-B264-4C8C-87EB-30E2F6DAAF51}"/>
    <cellStyle name="Normal 28 5" xfId="493" xr:uid="{FDE9743A-26C8-477B-9E68-1A3424B7B0CD}"/>
    <cellStyle name="Normal 28 6" xfId="494" xr:uid="{8FC91F1B-2024-41FC-9863-29E6487DAF7A}"/>
    <cellStyle name="Normal 29" xfId="495" xr:uid="{CD2B549A-2C65-4836-A604-0C0EF1ACC661}"/>
    <cellStyle name="Normal 29 2" xfId="496" xr:uid="{965BB3E6-1D5C-4661-B05F-3545D7A7F974}"/>
    <cellStyle name="Normal 29 3" xfId="497" xr:uid="{B9BF8D7E-69A8-46B3-9BC6-6887ADB7C2E2}"/>
    <cellStyle name="Normal 29 3 2" xfId="498" xr:uid="{68B9299E-3D94-4CC2-B479-4FCC8D51F1D8}"/>
    <cellStyle name="Normal 29 3 3" xfId="499" xr:uid="{FCCAA51F-91B1-4365-8377-F7DEE0446F34}"/>
    <cellStyle name="Normal 3" xfId="500" xr:uid="{969E8759-07EE-4805-9EB3-B58D475584B2}"/>
    <cellStyle name="Normal 3 2" xfId="501" xr:uid="{510B4137-D470-4E45-9DC8-24D91D125D1A}"/>
    <cellStyle name="Normal 3 2 2" xfId="502" xr:uid="{E4018213-49A2-4FBD-A3C2-8DCB4F64E8C0}"/>
    <cellStyle name="Normal 3 2 3" xfId="503" xr:uid="{CF8E4780-2145-43C5-89C3-3EF1780101A4}"/>
    <cellStyle name="Normal 3 2 4" xfId="504" xr:uid="{57055909-B05B-485D-A636-6F169592EBB3}"/>
    <cellStyle name="Normal 3 3" xfId="505" xr:uid="{44525BFE-1A08-4630-8B8A-F814FB6DAF04}"/>
    <cellStyle name="Normal 3 3 2" xfId="506" xr:uid="{F2EF8309-0044-4331-BE44-E208053EECBC}"/>
    <cellStyle name="Normal 3 4" xfId="507" xr:uid="{ED854BCC-1425-42E8-9F94-3DBB5DA949B4}"/>
    <cellStyle name="Normal 3 4 2" xfId="508" xr:uid="{9DF429EF-626D-4450-8E01-CA64C51B242B}"/>
    <cellStyle name="Normal 3 4 3" xfId="509" xr:uid="{D5C43D2D-AC3A-4550-9830-FF08797668EB}"/>
    <cellStyle name="Normal 3 5" xfId="510" xr:uid="{320D5E10-546F-466F-B5F2-40F1C124C717}"/>
    <cellStyle name="Normal 3 5 2" xfId="511" xr:uid="{A007A123-D17E-403B-8BD7-2EE7AADCE0D6}"/>
    <cellStyle name="Normal 3 5 3" xfId="512" xr:uid="{3270E366-0FFA-43B4-BEEE-00D96857AAF5}"/>
    <cellStyle name="Normal 3 6" xfId="513" xr:uid="{23E88563-9725-4763-B2E3-346F681550BE}"/>
    <cellStyle name="Normal 30" xfId="514" xr:uid="{1EF8B378-1469-47CE-9744-3AE750D1D551}"/>
    <cellStyle name="Normal 30 2" xfId="515" xr:uid="{33454CB2-448D-4E91-8086-A26B15C7233A}"/>
    <cellStyle name="Normal 30 3" xfId="516" xr:uid="{2B3CAB18-1C27-4EE1-A8CB-81AB70820713}"/>
    <cellStyle name="Normal 30 3 2" xfId="517" xr:uid="{CFC84928-D3B8-49B0-96D7-C93700670C57}"/>
    <cellStyle name="Normal 30 3 3" xfId="518" xr:uid="{04C8E5DB-7739-4D61-8479-F5E044D08783}"/>
    <cellStyle name="Normal 31" xfId="519" xr:uid="{1E4D80B2-F752-44D6-9241-3FE4F3A9CBC3}"/>
    <cellStyle name="Normal 31 2" xfId="520" xr:uid="{8549833F-0FCE-4EDB-828E-C8414C239C81}"/>
    <cellStyle name="Normal 31 2 2" xfId="521" xr:uid="{14DDBBA6-C97C-41B9-8CD9-AFE253ED2485}"/>
    <cellStyle name="Normal 31 2 3" xfId="522" xr:uid="{AE5050C9-AACF-4407-8EE3-CA5A58893A8C}"/>
    <cellStyle name="Normal 31 3" xfId="523" xr:uid="{F5AB102E-73C0-403A-82CF-B9C84F0D3E20}"/>
    <cellStyle name="Normal 32" xfId="524" xr:uid="{BC2E41AD-0231-43DC-A347-9B40C3B57FDA}"/>
    <cellStyle name="Normal 32 2" xfId="525" xr:uid="{0F04CA5B-485C-4D87-B184-57DB0495EEFA}"/>
    <cellStyle name="Normal 33" xfId="526" xr:uid="{6222EE87-B7AD-43FD-A941-187C201402BB}"/>
    <cellStyle name="Normal 33 2" xfId="527" xr:uid="{5D9647D7-6A5D-46F8-B051-EF4D2706C353}"/>
    <cellStyle name="Normal 34" xfId="528" xr:uid="{F0B254CF-D4BD-482B-B93F-D8725E990117}"/>
    <cellStyle name="Normal 35" xfId="529" xr:uid="{FD118710-8136-4C48-8B11-ECFEB0623486}"/>
    <cellStyle name="Normal 36" xfId="530" xr:uid="{C447BBDC-79D7-48D5-A8E5-E642F813241F}"/>
    <cellStyle name="Normal 37" xfId="531" xr:uid="{1414C2B7-D8AB-4A4C-8C9C-08DB1BD6C755}"/>
    <cellStyle name="Normal 38" xfId="532" xr:uid="{BB046EE3-1848-414D-B248-5BEE21B2BE74}"/>
    <cellStyle name="Normal 39" xfId="533" xr:uid="{37CA0E85-3DC5-4F5A-A9D5-FC1AD795CB68}"/>
    <cellStyle name="Normal 4" xfId="534" xr:uid="{B848054C-59D9-4D62-81C5-3D76825461C7}"/>
    <cellStyle name="Normal 4 2" xfId="535" xr:uid="{33410784-A9E1-415A-B548-91E9B9C5F719}"/>
    <cellStyle name="Normal 4 2 2" xfId="536" xr:uid="{F24CC652-7C71-4B66-A721-F96493594E16}"/>
    <cellStyle name="Normal 4 2 3" xfId="537" xr:uid="{3CFA5FF8-B315-41CB-B44F-4804B58FA849}"/>
    <cellStyle name="Normal 4 3" xfId="538" xr:uid="{D47F9AC0-359F-4AB8-B535-F89E47A23FDC}"/>
    <cellStyle name="Normal 4 4" xfId="539" xr:uid="{838AEBAC-59A4-44AF-A2AA-FF2B18603C90}"/>
    <cellStyle name="Normal 4 5" xfId="540" xr:uid="{C1E644FB-4D80-4986-ADCB-5406F0830CAD}"/>
    <cellStyle name="Normal 4 6" xfId="541" xr:uid="{B9451E57-6BF5-4DC8-8576-DDC48F5BFF9D}"/>
    <cellStyle name="Normal 4 7" xfId="542" xr:uid="{D2DFDAA8-38FD-4135-BA4B-BB35F80450F0}"/>
    <cellStyle name="Normal 40" xfId="543" xr:uid="{F90728D2-48A6-4BA2-B6E6-EDC35A7B586D}"/>
    <cellStyle name="Normal 41" xfId="544" xr:uid="{BF4F6BD3-C611-40E7-BB34-D67BE41305AD}"/>
    <cellStyle name="Normal 42" xfId="545" xr:uid="{393353A6-DF52-41B2-B2DA-06E3B87912F9}"/>
    <cellStyle name="Normal 43" xfId="546" xr:uid="{74814BB4-3492-4140-9354-20A76161416E}"/>
    <cellStyle name="Normal 44" xfId="547" xr:uid="{23058537-D6C6-4EEF-B11D-CF9B41AA9BE7}"/>
    <cellStyle name="Normal 45" xfId="548" xr:uid="{B54D13CC-2569-461F-9292-2BBE53A377FA}"/>
    <cellStyle name="Normal 46" xfId="549" xr:uid="{97591B9C-7B91-40B5-A8CF-E378A42B0E72}"/>
    <cellStyle name="Normal 47" xfId="550" xr:uid="{548CEBEF-12A3-4683-BE5B-F93DA20F0752}"/>
    <cellStyle name="Normal 48" xfId="551" xr:uid="{F5DB82E0-487E-4B21-B9AB-FF7B1B7FB0F4}"/>
    <cellStyle name="Normal 49" xfId="552" xr:uid="{0AEA7FC5-9BEA-4234-AA3F-BF513EC531BC}"/>
    <cellStyle name="Normal 5" xfId="553" xr:uid="{2E2E209B-3EDE-4964-A43E-6C0C96C668C1}"/>
    <cellStyle name="Normal 5 2" xfId="554" xr:uid="{E311465D-E03F-4070-A75D-982009BA429C}"/>
    <cellStyle name="Normal 5 3" xfId="555" xr:uid="{D480F1B7-070B-4C73-9B26-DE9B0ADC78B0}"/>
    <cellStyle name="Normal 50" xfId="556" xr:uid="{51D221CC-AA8D-41C5-9CC6-4EF37E82A210}"/>
    <cellStyle name="Normal 51" xfId="557" xr:uid="{76F144F3-6BC0-44B5-BE00-3E2336E1D439}"/>
    <cellStyle name="Normal 52" xfId="558" xr:uid="{5CE2EEE3-0B7C-4A71-A533-78E85E05491A}"/>
    <cellStyle name="Normal 53" xfId="559" xr:uid="{17554FBF-CBC0-41B3-BA7E-D6D30820837B}"/>
    <cellStyle name="Normal 54" xfId="560" xr:uid="{94D8F024-4B21-41B6-8890-86A2BBE08557}"/>
    <cellStyle name="Normal 55" xfId="561" xr:uid="{622CF9AA-527C-47C7-91E2-87AEDC11AD2A}"/>
    <cellStyle name="Normal 56" xfId="562" xr:uid="{3FEF2376-CB89-406A-B63E-0F15382B2DA0}"/>
    <cellStyle name="Normal 57" xfId="563" xr:uid="{BCA04F27-0740-460B-8056-636561AC7B82}"/>
    <cellStyle name="Normal 58" xfId="564" xr:uid="{E4F37EFB-65E3-4C7C-B355-FCC2B175BBCA}"/>
    <cellStyle name="Normal 59" xfId="565" xr:uid="{2080B4B9-99EE-46F3-9CBE-9BBA6D18DAAC}"/>
    <cellStyle name="Normal 6" xfId="566" xr:uid="{928CCFFA-5C23-40EB-993D-E1221977EBDB}"/>
    <cellStyle name="Normal 6 2" xfId="567" xr:uid="{F205B79C-8DDB-4CA4-B3DF-D699BD56CC95}"/>
    <cellStyle name="Normal 6 2 2" xfId="568" xr:uid="{C8DAC0E7-40F2-48F8-A9F2-E773914FC97A}"/>
    <cellStyle name="Normal 6 2 3" xfId="569" xr:uid="{756AF4A5-39B0-4560-897F-E791E1D87CAB}"/>
    <cellStyle name="Normal 6 3" xfId="570" xr:uid="{7C3540E8-27CB-476E-867D-D07621E7D778}"/>
    <cellStyle name="Normal 60" xfId="571" xr:uid="{8F4110F1-053A-4D65-B1C5-C61FC02DAA5F}"/>
    <cellStyle name="Normal 61" xfId="572" xr:uid="{3B7D0A28-CD48-424D-A157-51B225A870B1}"/>
    <cellStyle name="Normal 61 2" xfId="573" xr:uid="{7C174976-0CDB-4C6C-A2A6-A909FF46FBD6}"/>
    <cellStyle name="Normal 62" xfId="574" xr:uid="{643F7E0D-C551-40D6-90ED-A1EFDB637F0F}"/>
    <cellStyle name="Normal 63" xfId="575" xr:uid="{346BEBEC-0989-4DF2-9CBB-2288BBF1301C}"/>
    <cellStyle name="Normal 64" xfId="576" xr:uid="{579030D6-7804-4995-BA46-6958C86EF322}"/>
    <cellStyle name="Normal 65" xfId="577" xr:uid="{879400F0-7B94-4275-964C-7D0D46E6D1D8}"/>
    <cellStyle name="Normal 65 2" xfId="578" xr:uid="{CB6A5626-5B65-4803-BB18-1854E0CC1BEA}"/>
    <cellStyle name="Normal 66" xfId="579" xr:uid="{A85B6B21-BBA6-4BA7-A701-267D7B092A00}"/>
    <cellStyle name="Normal 66 2" xfId="580" xr:uid="{A349AC82-E9C1-4A1B-B08C-2AFC1B7C9764}"/>
    <cellStyle name="Normal 67" xfId="581" xr:uid="{8BBADBC1-D85E-4D2D-A502-87FAD644BC44}"/>
    <cellStyle name="Normal 67 2" xfId="582" xr:uid="{4ECA18B8-56FA-4CF4-90EF-39A143758497}"/>
    <cellStyle name="Normal 68" xfId="583" xr:uid="{D28B1879-E7B5-4ED7-A045-083ADAC75D5C}"/>
    <cellStyle name="Normal 68 2" xfId="584" xr:uid="{8A723544-32A9-4B61-BDBD-2005C50FC8C6}"/>
    <cellStyle name="Normal 69" xfId="585" xr:uid="{5B2BE0B9-060F-4C4E-A418-E738F923BAD7}"/>
    <cellStyle name="Normal 69 2" xfId="586" xr:uid="{81B1B41F-1ACE-45F4-A36C-D4944B487A8F}"/>
    <cellStyle name="Normal 7" xfId="587" xr:uid="{A3F9104D-46F8-4C61-A9A0-1C504205FAF6}"/>
    <cellStyle name="Normal 7 2" xfId="588" xr:uid="{CB2CDA64-E0E8-4758-8121-DCFCFA11B84F}"/>
    <cellStyle name="Normal 7 2 2" xfId="589" xr:uid="{E1BCCEE4-8B9B-4B33-9B43-C4D52D2526AC}"/>
    <cellStyle name="Normal 7 3" xfId="590" xr:uid="{5D70D205-96E6-4BA4-BDA6-F937CDC93081}"/>
    <cellStyle name="Normal 7 3 2" xfId="591" xr:uid="{F741B23D-B7D8-499D-A61E-07A1C13F0ADB}"/>
    <cellStyle name="Normal 7 4" xfId="592" xr:uid="{A20B39CB-6A66-458B-AAA0-E2DF89E8321A}"/>
    <cellStyle name="Normal 7 5" xfId="593" xr:uid="{58D6011E-215B-4737-B770-D4DDC7619B62}"/>
    <cellStyle name="Normal 7 5 2" xfId="594" xr:uid="{67F8D22B-8981-4350-9B47-A4F5BF9A329E}"/>
    <cellStyle name="Normal 7 5 3" xfId="595" xr:uid="{60F07F51-BCA6-4841-BB00-82D7E0F7B319}"/>
    <cellStyle name="Normal 7 6" xfId="596" xr:uid="{22C735A4-64E1-4B22-B326-222ABCE8CC2F}"/>
    <cellStyle name="Normal 70" xfId="597" xr:uid="{DB4EF133-02EF-4BAF-A9B3-F309947BEE91}"/>
    <cellStyle name="Normal 70 2" xfId="598" xr:uid="{2D7EEEC2-A666-4BCA-BCA3-6819ACE8FAB7}"/>
    <cellStyle name="Normal 71" xfId="599" xr:uid="{952F11AD-9947-429B-A467-285193FA096F}"/>
    <cellStyle name="Normal 71 2" xfId="600" xr:uid="{E5A256D7-5C9E-4235-8F00-27A5053BBE2C}"/>
    <cellStyle name="Normal 72" xfId="601" xr:uid="{BB8CE3DF-DDD1-450C-B504-54DE7CCB9F72}"/>
    <cellStyle name="Normal 73" xfId="602" xr:uid="{3108DB09-CFA7-4E58-9E82-1B3E0DC2D2E7}"/>
    <cellStyle name="Normal 74" xfId="603" xr:uid="{1957EE73-EF6B-4928-BBC2-4D3D02A575C5}"/>
    <cellStyle name="Normal 75" xfId="604" xr:uid="{1BC05C67-50D9-4D53-927F-FE6B99823A65}"/>
    <cellStyle name="Normal 76" xfId="605" xr:uid="{BF3907AF-6805-499D-B301-B496429F4F58}"/>
    <cellStyle name="Normal 77" xfId="606" xr:uid="{B14CA78C-500B-4C2D-85AE-3D42C64FE6BB}"/>
    <cellStyle name="Normal 78" xfId="607" xr:uid="{DD4CC4F6-6A6D-4F4D-9B4B-8E72F87E54BC}"/>
    <cellStyle name="Normal 79" xfId="608" xr:uid="{4785D89A-4A67-40A7-A648-1E8E0B8BD4F8}"/>
    <cellStyle name="Normal 8" xfId="609" xr:uid="{867ED812-307F-4BAB-BB96-1623DF206304}"/>
    <cellStyle name="Normal 8 2" xfId="610" xr:uid="{3F665933-FF94-480E-8F20-2E2A93212504}"/>
    <cellStyle name="Normal 8 2 2" xfId="611" xr:uid="{60267FA5-E7C6-40EB-BC8D-E040F29946B7}"/>
    <cellStyle name="Normal 8 3" xfId="612" xr:uid="{3A0A4EA5-1E11-4D25-90A0-9E035030AFF4}"/>
    <cellStyle name="Normal 8 3 2" xfId="613" xr:uid="{25115F4B-E32F-41BD-A3AB-9201D80DCA98}"/>
    <cellStyle name="Normal 8 4" xfId="614" xr:uid="{8AA9D58F-6D84-431B-BC52-EEB613FD92C7}"/>
    <cellStyle name="Normal 8 4 2" xfId="615" xr:uid="{CB7CFF84-C63F-45F7-8F96-558957461FE0}"/>
    <cellStyle name="Normal 8 4 3" xfId="616" xr:uid="{E5AE4C49-0593-4A8A-A3CC-F00E35A97BEC}"/>
    <cellStyle name="Normal 8 5" xfId="617" xr:uid="{BE9AD479-3048-4042-83DE-F77E7CB33979}"/>
    <cellStyle name="Normal 80" xfId="618" xr:uid="{58DCE895-FAA0-4318-B635-1B82D4D823B3}"/>
    <cellStyle name="Normal 80 2" xfId="619" xr:uid="{1F635DCB-5FA2-4B73-85A1-BCD25E5E1A53}"/>
    <cellStyle name="Normal 81" xfId="620" xr:uid="{AE57F8EB-5DFF-4D8B-9F38-70294BE30069}"/>
    <cellStyle name="Normal 82" xfId="621" xr:uid="{6E9DB84C-1311-4308-A7DF-36C1898A3D90}"/>
    <cellStyle name="Normal 83" xfId="622" xr:uid="{29995FF8-D79E-4DE1-908E-2325913F9216}"/>
    <cellStyle name="Normal 83 2" xfId="623" xr:uid="{57F0F00D-8E37-473C-9039-6AC3F3E4B65D}"/>
    <cellStyle name="Normal 83 3" xfId="624" xr:uid="{716ABC2C-78F5-40D7-8500-F3851E6518AE}"/>
    <cellStyle name="Normal 84" xfId="625" xr:uid="{2A428AD0-B7EE-43D4-AB3E-B1ED914F839D}"/>
    <cellStyle name="Normal 84 2" xfId="626" xr:uid="{2981677A-89DF-40C0-AF69-2E4643DE8BEC}"/>
    <cellStyle name="Normal 84 3" xfId="627" xr:uid="{B1067FAC-C48A-4FFA-ACDB-AFF8621ACD4E}"/>
    <cellStyle name="Normal 85" xfId="628" xr:uid="{DBB059DC-B02A-4359-B9CB-916B7BE2292F}"/>
    <cellStyle name="Normal 86" xfId="629" xr:uid="{F2D94821-D39E-491B-B09D-04F6B908184D}"/>
    <cellStyle name="Normal 87" xfId="630" xr:uid="{5F9BA692-7CA4-49E1-8BB1-40AA2FF30A12}"/>
    <cellStyle name="Normal 88" xfId="631" xr:uid="{E503761A-97CC-4A9B-9862-4305A69D01DA}"/>
    <cellStyle name="Normal 89" xfId="632" xr:uid="{4388B924-471B-4644-8B5A-FB0143848DAB}"/>
    <cellStyle name="Normal 9" xfId="633" xr:uid="{C3314A5D-A541-495A-9A18-51A8FD4FC877}"/>
    <cellStyle name="Normal 9 2" xfId="634" xr:uid="{E3F16FC1-710D-4C9B-8CE5-75BD9CBCDBB2}"/>
    <cellStyle name="Normal 9 3" xfId="635" xr:uid="{AD62A091-9A5A-4D24-A409-5CD18B73AC7B}"/>
    <cellStyle name="Normal 90" xfId="636" xr:uid="{5FCDEA4B-358B-460E-83DE-D7F0817314FE}"/>
    <cellStyle name="Normal 91" xfId="637" xr:uid="{3F07FC5B-1F78-4030-B977-DBEAF66E7947}"/>
    <cellStyle name="Normal 92" xfId="638" xr:uid="{2D179AD4-4590-400F-8C7B-DA22B05C0A58}"/>
    <cellStyle name="Normal 93" xfId="639" xr:uid="{63134FCD-0E1B-40DF-B9B9-DEFC8C998E50}"/>
    <cellStyle name="Normal 94" xfId="640" xr:uid="{1087220C-F779-4918-BFE1-3672C7641874}"/>
    <cellStyle name="Normal 95" xfId="641" xr:uid="{54653DC8-70A7-4F64-BC7F-8A4494FCD185}"/>
    <cellStyle name="Normal 96" xfId="642" xr:uid="{67A2AC41-618D-4700-ABA4-1AAF0C559C00}"/>
    <cellStyle name="Normal 97" xfId="643" xr:uid="{A8B19DCC-406A-4C18-A70E-BBB7F52EB2AC}"/>
    <cellStyle name="Normal 98" xfId="644" xr:uid="{96F2069A-FE5B-47A0-983B-008F11A0201B}"/>
    <cellStyle name="Normal 99" xfId="645" xr:uid="{8ACCE412-E3AD-4181-AAA7-FC96A183CF91}"/>
    <cellStyle name="Normál_GP 2004-01-31-January" xfId="646" xr:uid="{D2E8FF35-D412-4760-853A-32BD3FC06F70}"/>
    <cellStyle name="Normal_RA" xfId="647" xr:uid="{880F7345-AF68-4A6E-962D-5DBDFED941AE}"/>
    <cellStyle name="Normal_RA_1" xfId="648" xr:uid="{4F19B17C-03F7-4CDD-80BA-DD5D0C2A79CA}"/>
    <cellStyle name="Normal_tvamens2001luf" xfId="649" xr:uid="{82226A87-47EC-4126-BDCA-BDF56C58C997}"/>
    <cellStyle name="Nota" xfId="650" xr:uid="{C4C135AA-9DA1-441A-9D4D-CEE7288869AF}"/>
    <cellStyle name="Note 2" xfId="651" xr:uid="{EA95FB7C-9618-41CA-AC2C-063037F2B9EF}"/>
    <cellStyle name="Note 3" xfId="652" xr:uid="{1FC74EB3-0B52-4D87-8B3F-C11C02E62ABD}"/>
    <cellStyle name="Note 4" xfId="653" xr:uid="{46FF01B8-B2E1-4AF7-A917-C3A85FE2458A}"/>
    <cellStyle name="Note 5" xfId="654" xr:uid="{472D9569-203E-48D5-B9A0-520290E436E5}"/>
    <cellStyle name="Note 6" xfId="655" xr:uid="{E6DD1B59-41C3-473C-9C59-06ECD5172997}"/>
    <cellStyle name="Note 6 2" xfId="656" xr:uid="{77C95434-4A35-4019-AA27-1EC4E72DAF9C}"/>
    <cellStyle name="Note 7" xfId="657" xr:uid="{A8F4E1CE-D36B-4A1B-9EEC-9978DB4BE60A}"/>
    <cellStyle name="oft Excel]_x000a__x000a_Comment=open=/f ‚ðZw’è‚·‚é‚ÆAƒ†[ƒU[’è‹`ŠÖ”‚ðŠÖ”“\‚è•t‚¯‚Ìˆê——‚É“o˜^‚·‚é‚±‚Æ‚ª‚Å‚«‚Ü‚·B_x000a__x000a_Maximized" xfId="658" xr:uid="{10EB7D39-2D7B-47FF-BAF0-18A36263C75B}"/>
    <cellStyle name="oft Excel]_x000d__x000a_Comment=open=/f ‚ðZw’è‚·‚é‚ÆAƒ†[ƒU[’è‹`ŠÖ”‚ðŠÖ”“\‚è•t‚¯‚Ìˆê——‚É“o˜^‚·‚é‚±‚Æ‚ª‚Å‚«‚Ü‚·B_x000d__x000a_Maximized" xfId="659" xr:uid="{F9ADC144-C73B-42AC-8E0B-1A3771A25078}"/>
    <cellStyle name="Output 2" xfId="660" xr:uid="{FD8B6C79-DABF-46DB-B17A-A413C57BC1AE}"/>
    <cellStyle name="Output 3" xfId="661" xr:uid="{0E65103E-54E3-41B9-A334-05859A214527}"/>
    <cellStyle name="Output 4" xfId="662" xr:uid="{18D94C4B-4D33-4C3D-9871-5437AB6207BB}"/>
    <cellStyle name="Percent [0]" xfId="663" xr:uid="{CD32E84E-B3EA-4062-BD9D-794EFBAE0849}"/>
    <cellStyle name="Percent [00]" xfId="664" xr:uid="{C12B114A-D40A-4757-91DF-FBC6F02B43AC}"/>
    <cellStyle name="Percent [2]" xfId="665" xr:uid="{2CE2E9DC-E8D5-4C28-98A2-6DDFBB6483B5}"/>
    <cellStyle name="Percent [2] 2" xfId="666" xr:uid="{DE240D38-A764-43C6-BA94-56FA2D95D9AB}"/>
    <cellStyle name="Percent [2] 3" xfId="667" xr:uid="{9BAB4254-7CF4-4809-8C7F-F310D10BEFDD}"/>
    <cellStyle name="Percent 10" xfId="668" xr:uid="{69B17CD5-6848-482C-8C34-4E4DAB1370C1}"/>
    <cellStyle name="Percent 11" xfId="669" xr:uid="{B7D65906-78D8-428E-A0E3-87BCDC46D9A0}"/>
    <cellStyle name="Percent 12" xfId="670" xr:uid="{B46EC0E5-63EE-4634-B487-0D4FC2AFACE3}"/>
    <cellStyle name="Percent 13" xfId="671" xr:uid="{A8DFB1B9-6914-413C-B676-46346CC8365A}"/>
    <cellStyle name="Percent 14" xfId="672" xr:uid="{EA4464B6-B5D3-489A-99CC-88ED3EDB242D}"/>
    <cellStyle name="Percent 15" xfId="673" xr:uid="{851992F7-745D-4360-8AA5-643EC0F3A290}"/>
    <cellStyle name="Percent 16" xfId="674" xr:uid="{C8FE8682-AC95-4D1D-99D2-A0CED25ED967}"/>
    <cellStyle name="Percent 17" xfId="675" xr:uid="{766BFC2A-3CC7-4D2D-A4F7-76BE028AE40D}"/>
    <cellStyle name="Percent 18" xfId="676" xr:uid="{D89C2939-2F94-4816-9739-2734899D056A}"/>
    <cellStyle name="Percent 19" xfId="677" xr:uid="{D5F2F816-3C75-4750-9406-C3DD226607C2}"/>
    <cellStyle name="Percent 2" xfId="678" xr:uid="{EC6F7DF2-8E1F-4708-B2D3-231EE855D6ED}"/>
    <cellStyle name="Percent 2 2" xfId="679" xr:uid="{09DB5297-05E1-4600-91D5-F7112D968A0A}"/>
    <cellStyle name="Percent 2 2 2" xfId="680" xr:uid="{25D04020-611B-4B9A-97A6-E0AB601FAD48}"/>
    <cellStyle name="Percent 2 2 2 2" xfId="681" xr:uid="{41D91398-AF93-4F4B-84E7-FE890DCC5B64}"/>
    <cellStyle name="Percent 2 2 3" xfId="682" xr:uid="{E99C51B3-8E0D-4AB4-917C-5659E9A159CE}"/>
    <cellStyle name="Percent 2 2 4" xfId="683" xr:uid="{656BE459-BD9D-4724-9D85-4B040BF8A2D1}"/>
    <cellStyle name="Percent 2 2 5" xfId="684" xr:uid="{6E9B4C9C-4124-4691-988E-2AF5A9AA6B87}"/>
    <cellStyle name="Percent 2 2 6" xfId="685" xr:uid="{437B9DDB-F446-4A82-AA75-35B9FEE4617F}"/>
    <cellStyle name="Percent 2 2 7" xfId="686" xr:uid="{9CFFA906-00AD-4706-8308-7886ADA00743}"/>
    <cellStyle name="Percent 2 3" xfId="687" xr:uid="{314A054D-F8F7-4EE6-B3BD-CA11F0B7214B}"/>
    <cellStyle name="Percent 2 3 2" xfId="688" xr:uid="{B6D4485C-4835-4FCA-8E9B-4C7CD6AB6063}"/>
    <cellStyle name="Percent 2 3 3" xfId="689" xr:uid="{68847B9A-512D-4A8D-90C6-0DDB12E457EB}"/>
    <cellStyle name="Percent 2 3 4" xfId="690" xr:uid="{FD66832F-769C-40AC-A3E5-AE328E79BF90}"/>
    <cellStyle name="Percent 2 4" xfId="691" xr:uid="{7C1F72D7-E613-4FDD-97FB-C5CB6C756B1B}"/>
    <cellStyle name="Percent 2 4 2" xfId="692" xr:uid="{4F31D3BD-83FA-4030-85D9-87ACDFC40F79}"/>
    <cellStyle name="Percent 2 5" xfId="693" xr:uid="{1AE7D161-3C1C-4DCC-9351-1EB4C528A083}"/>
    <cellStyle name="Percent 2 6" xfId="694" xr:uid="{7D4FB341-6185-4778-911A-390179EFAAE5}"/>
    <cellStyle name="Percent 2 7" xfId="695" xr:uid="{8C8BEA11-340A-4856-A01B-541B58AEB46C}"/>
    <cellStyle name="Percent 20" xfId="696" xr:uid="{4BED1765-36A9-4CC2-9EE9-354772CAA33B}"/>
    <cellStyle name="Percent 21" xfId="697" xr:uid="{7CA52416-9F4F-49AD-8712-72CCB3B26B20}"/>
    <cellStyle name="Percent 22" xfId="698" xr:uid="{83D3B032-E630-4907-8D73-7677B31B246B}"/>
    <cellStyle name="Percent 23" xfId="699" xr:uid="{947247DA-8A85-4F00-AFE3-E4C51C2D24ED}"/>
    <cellStyle name="Percent 24" xfId="700" xr:uid="{43897BFE-26A2-4B46-85D0-3584AE11929C}"/>
    <cellStyle name="Percent 25" xfId="701" xr:uid="{992DE8E9-E167-4872-9DE7-1078CFC74C01}"/>
    <cellStyle name="Percent 26" xfId="702" xr:uid="{B37286F4-DFB2-48B1-AE1E-D07E317D484C}"/>
    <cellStyle name="Percent 27" xfId="703" xr:uid="{1178EC3E-583F-45B4-B5D4-46DC17DC9245}"/>
    <cellStyle name="Percent 28" xfId="704" xr:uid="{15563282-D5D0-46AD-AA2D-3BF0AAE4AB79}"/>
    <cellStyle name="Percent 29" xfId="705" xr:uid="{6FB89E44-0D6D-489C-B5CE-279DA1FB87CA}"/>
    <cellStyle name="Percent 3" xfId="706" xr:uid="{DBF7C19B-D468-49E4-A029-A995DFA3CAD6}"/>
    <cellStyle name="Percent 3 2" xfId="707" xr:uid="{A7B186AA-A34A-4632-8C72-E1A8766693C1}"/>
    <cellStyle name="Percent 3 2 2" xfId="708" xr:uid="{90F298D2-24E7-4FAC-99FC-0BD17FE97E00}"/>
    <cellStyle name="Percent 3 3" xfId="709" xr:uid="{3A7BFDC8-E1B4-4A6A-BCA6-3019AC69127D}"/>
    <cellStyle name="Percent 3 3 2" xfId="710" xr:uid="{D96EE86A-3914-4502-BEA8-7021F4E9C258}"/>
    <cellStyle name="Percent 3 4" xfId="711" xr:uid="{E16ED232-A771-4995-AAB4-44FDCBB7B516}"/>
    <cellStyle name="Percent 3 4 2" xfId="712" xr:uid="{AEECD4AD-32E5-418E-A306-26A7CEE5622C}"/>
    <cellStyle name="Percent 3 4 3" xfId="713" xr:uid="{D9B61A57-6F8C-4136-920E-BF0D6DDAF5EB}"/>
    <cellStyle name="Percent 3 5" xfId="714" xr:uid="{719CA262-D648-47B1-94F6-7714BAD9A284}"/>
    <cellStyle name="Percent 3 6" xfId="715" xr:uid="{57D6A9E1-FADB-48FA-8056-AB1DB3B37D03}"/>
    <cellStyle name="Percent 30" xfId="716" xr:uid="{240BD836-7595-4355-B007-7665BCB7AE87}"/>
    <cellStyle name="Percent 31" xfId="717" xr:uid="{A2D23B44-9A08-40A1-AC60-C2D7D2008B86}"/>
    <cellStyle name="Percent 32" xfId="718" xr:uid="{360A1E24-E2E4-4F2C-9992-4D3CB97280EB}"/>
    <cellStyle name="Percent 33" xfId="719" xr:uid="{C5BB470D-71F5-49EB-9E18-59B5C704465C}"/>
    <cellStyle name="Percent 34" xfId="720" xr:uid="{79D24A4C-193E-4311-BE7E-3E051446A1CE}"/>
    <cellStyle name="Percent 35" xfId="721" xr:uid="{E1A18B7D-69BB-47ED-B68C-BFEA6C5BB641}"/>
    <cellStyle name="Percent 36" xfId="722" xr:uid="{D01FBEDC-991B-49D3-BCE8-1194E5880DA0}"/>
    <cellStyle name="Percent 37" xfId="723" xr:uid="{7CA0E740-19D0-4EA1-860E-CBBE197C3734}"/>
    <cellStyle name="Percent 38" xfId="724" xr:uid="{5E9C9427-3087-449C-AB29-8392F907E75E}"/>
    <cellStyle name="Percent 39" xfId="725" xr:uid="{AE747025-B22D-4D9D-BBBF-89D887E7F813}"/>
    <cellStyle name="Percent 4" xfId="726" xr:uid="{A0F368C8-923A-4637-94A0-FC72A0EEFB35}"/>
    <cellStyle name="Percent 4 2" xfId="727" xr:uid="{BFBB4499-56B6-4947-9039-28AC53731880}"/>
    <cellStyle name="Percent 4 3" xfId="728" xr:uid="{35054F7F-8EFC-4DD4-8E5B-9E3A46E42E6E}"/>
    <cellStyle name="Percent 4 3 2" xfId="729" xr:uid="{AD828AFF-3A09-4B54-91DF-30E691DE6389}"/>
    <cellStyle name="Percent 4 4" xfId="730" xr:uid="{AE28FAE5-B73C-4C6F-844B-ED1E5C6A04B4}"/>
    <cellStyle name="Percent 4 4 2" xfId="731" xr:uid="{A2F25A2D-0F8A-4F6B-80B4-80BAB020C5BF}"/>
    <cellStyle name="Percent 4 4 3" xfId="732" xr:uid="{1B5D38DB-FBE9-483B-BDDF-E186BD6FE0AE}"/>
    <cellStyle name="Percent 4 5" xfId="733" xr:uid="{5D6B0381-7674-4196-BEEB-796B462C7632}"/>
    <cellStyle name="Percent 4 6" xfId="734" xr:uid="{E9ED6F29-D4D0-4E12-BB85-339AD6C4FADE}"/>
    <cellStyle name="Percent 40" xfId="735" xr:uid="{85C85915-B2DA-4707-A499-FCDE95A83270}"/>
    <cellStyle name="Percent 40 2" xfId="736" xr:uid="{5C96A936-62A2-4E5C-A3AA-8542E3BB2F20}"/>
    <cellStyle name="Percent 41" xfId="737" xr:uid="{56DDE15C-2996-409E-B2E9-9081C5F842BD}"/>
    <cellStyle name="Percent 41 2" xfId="738" xr:uid="{6AD9D2BC-630C-4DF0-BDC9-D643E31CE47A}"/>
    <cellStyle name="Percent 41 3" xfId="739" xr:uid="{472992A0-EB24-4F2A-8DB7-7EDE13CF628E}"/>
    <cellStyle name="Percent 42" xfId="740" xr:uid="{5B20A302-4D39-47FA-A0EA-6C212AD69483}"/>
    <cellStyle name="Percent 42 2" xfId="741" xr:uid="{75D4C341-B71E-4666-B0A6-69E284ECC06B}"/>
    <cellStyle name="Percent 42 3" xfId="742" xr:uid="{0347C645-8DA9-4A03-A21B-A41843BAC8E1}"/>
    <cellStyle name="Percent 43" xfId="743" xr:uid="{635E9EEF-AF03-4CA2-9573-7CABC3BE398B}"/>
    <cellStyle name="Percent 44" xfId="744" xr:uid="{DF615280-3E45-419F-A2A1-193170FF9FA7}"/>
    <cellStyle name="Percent 45" xfId="745" xr:uid="{AA0E51AE-D6AA-46DE-98AB-51DD37E7B83C}"/>
    <cellStyle name="Percent 46" xfId="746" xr:uid="{7B942232-2C18-40E2-B335-409AFDEA79C4}"/>
    <cellStyle name="Percent 47" xfId="747" xr:uid="{F836B00F-979E-4887-9C00-F2E2D2A90F70}"/>
    <cellStyle name="Percent 48" xfId="748" xr:uid="{3F76AFCD-16EA-40CD-998E-0E041938A95A}"/>
    <cellStyle name="Percent 49" xfId="749" xr:uid="{4799A31D-9138-496D-9C46-0A3691215DA6}"/>
    <cellStyle name="Percent 5" xfId="750" xr:uid="{596E5C0E-C844-4C5C-9371-EA91D7FACCC1}"/>
    <cellStyle name="Percent 5 10" xfId="751" xr:uid="{425E9E1E-714F-49AE-B2D1-2D36FE56A2A7}"/>
    <cellStyle name="Percent 5 2" xfId="752" xr:uid="{C5467160-E415-4A3E-A170-789485201F7A}"/>
    <cellStyle name="Percent 5 2 2" xfId="753" xr:uid="{2A966C57-E7F8-43B4-84C9-26CCCCD32500}"/>
    <cellStyle name="Percent 5 3" xfId="754" xr:uid="{E1F9A7E4-DB77-4DF7-B285-56B4C7B7DACE}"/>
    <cellStyle name="Percent 5 3 2" xfId="755" xr:uid="{71EFFECE-DAEB-48A3-896B-1A3626591DC6}"/>
    <cellStyle name="Percent 5 4" xfId="756" xr:uid="{A7DABCB5-0A02-4684-9FD4-B7FCB6A1D2A3}"/>
    <cellStyle name="Percent 5 4 2" xfId="757" xr:uid="{CF42CFB0-0F4C-4975-B210-2FB98BCF3C14}"/>
    <cellStyle name="Percent 5 5" xfId="758" xr:uid="{294EB6CC-75D7-48DE-B6EC-F0CBCF2C94F5}"/>
    <cellStyle name="Percent 5 5 2" xfId="759" xr:uid="{DE71032A-9A6B-4DBF-91CD-9F8E40E13E2E}"/>
    <cellStyle name="Percent 5 6" xfId="760" xr:uid="{23FF8606-1693-4871-AE14-D4B3C94449C6}"/>
    <cellStyle name="Percent 5 6 2" xfId="761" xr:uid="{0700B762-BA25-4265-934A-5C0218CB7681}"/>
    <cellStyle name="Percent 5 7" xfId="762" xr:uid="{C79D58E0-B0BB-4E4D-BE82-F38300552405}"/>
    <cellStyle name="Percent 5 7 2" xfId="763" xr:uid="{D5EB6709-786D-4E82-B9E2-E337535E6052}"/>
    <cellStyle name="Percent 5 8" xfId="764" xr:uid="{163461A9-3D2E-4EB8-AA34-A4042CC83142}"/>
    <cellStyle name="Percent 5 9" xfId="765" xr:uid="{A748D7F9-F253-488D-85E6-F96838A6AA5C}"/>
    <cellStyle name="Percent 50" xfId="766" xr:uid="{64EB6F50-173E-43D7-8272-B35FED828708}"/>
    <cellStyle name="Percent 51" xfId="767" xr:uid="{A04E11E9-3C66-466A-BE9B-BA90A65C30F7}"/>
    <cellStyle name="Percent 52" xfId="768" xr:uid="{47C4841E-B449-4E82-B40A-142B4538888E}"/>
    <cellStyle name="Percent 53" xfId="769" xr:uid="{3A2214A3-7F35-404B-8024-927232958802}"/>
    <cellStyle name="Percent 54" xfId="770" xr:uid="{F34C6F98-5AFC-4A59-A1C0-7837C63B9E69}"/>
    <cellStyle name="Percent 55" xfId="771" xr:uid="{696E165B-B096-4C2C-83A2-9EC0EB275534}"/>
    <cellStyle name="Percent 56" xfId="772" xr:uid="{50AB8EC2-5274-4ACC-A829-73C3318E5E44}"/>
    <cellStyle name="Percent 57" xfId="773" xr:uid="{2D4C4683-A67E-403F-9368-802551DF612F}"/>
    <cellStyle name="Percent 58" xfId="774" xr:uid="{E665F0A7-CD06-4C67-8902-CF45CC1A62A6}"/>
    <cellStyle name="Percent 59" xfId="775" xr:uid="{C5D5904D-AEDA-4340-BBC1-BFD4B698F8FE}"/>
    <cellStyle name="Percent 59 2" xfId="776" xr:uid="{14A30851-2044-4FD3-BFB0-B63A2139C6AC}"/>
    <cellStyle name="Percent 6" xfId="777" xr:uid="{6D8753FC-F898-4331-810B-59E09137AC28}"/>
    <cellStyle name="Percent 6 10" xfId="778" xr:uid="{3F0721E1-34DC-448A-A705-BCB982FCC79A}"/>
    <cellStyle name="Percent 6 2" xfId="779" xr:uid="{34974418-4D51-4382-852C-1F8A5AD510DD}"/>
    <cellStyle name="Percent 6 2 2" xfId="780" xr:uid="{C88F68BF-6376-469D-8FF1-EE497671101D}"/>
    <cellStyle name="Percent 6 3" xfId="781" xr:uid="{5E3A8DE9-99DE-4B0C-8D79-A65DFAB8AECB}"/>
    <cellStyle name="Percent 6 3 2" xfId="782" xr:uid="{6647DDA7-9594-4B84-9BA8-66E5553DC55A}"/>
    <cellStyle name="Percent 6 4" xfId="783" xr:uid="{7D3E772C-16C9-4D99-8009-8F13CAAFFABE}"/>
    <cellStyle name="Percent 6 4 2" xfId="784" xr:uid="{D153C931-CED8-408B-92D7-1A459C0F31BB}"/>
    <cellStyle name="Percent 6 5" xfId="785" xr:uid="{873242E7-53CC-4FE9-B476-40C3D1CA921C}"/>
    <cellStyle name="Percent 6 5 2" xfId="786" xr:uid="{1C526B6C-327B-468F-B7F9-59D3F7D11A41}"/>
    <cellStyle name="Percent 6 6" xfId="787" xr:uid="{F3449681-3A6D-48FA-BCD5-B21F7CA1FF91}"/>
    <cellStyle name="Percent 6 6 2" xfId="788" xr:uid="{725E7C23-29AA-4F47-BDA9-C28D03826071}"/>
    <cellStyle name="Percent 6 7" xfId="789" xr:uid="{A97FE23C-496B-46B1-B06B-EE250602CBCF}"/>
    <cellStyle name="Percent 6 7 2" xfId="790" xr:uid="{41E3F448-B394-4D6E-B525-040147C29B9A}"/>
    <cellStyle name="Percent 6 8" xfId="791" xr:uid="{CF9D360C-E91B-4D2A-8B7D-3F2B0439CAA9}"/>
    <cellStyle name="Percent 6 9" xfId="792" xr:uid="{ACD49C77-2E84-49B2-9654-13EB8EBB0046}"/>
    <cellStyle name="Percent 60" xfId="793" xr:uid="{F7BE96A5-C937-4D04-91DF-CDC966CA0459}"/>
    <cellStyle name="Percent 60 2" xfId="794" xr:uid="{36E12E21-BBC0-47D2-8552-5B3D7FEB7811}"/>
    <cellStyle name="Percent 61" xfId="795" xr:uid="{8D117C82-0571-491E-BC57-EECC3F80F140}"/>
    <cellStyle name="Percent 61 2" xfId="796" xr:uid="{B5C72110-F002-4A48-95F1-9B99D21FD85E}"/>
    <cellStyle name="Percent 62" xfId="797" xr:uid="{F6254443-2D42-464A-917F-7373189547CD}"/>
    <cellStyle name="Percent 63" xfId="798" xr:uid="{BB19B810-8349-4654-BC31-499E7E9283C0}"/>
    <cellStyle name="Percent 63 2" xfId="799" xr:uid="{F47DE1EC-C10C-480B-A32E-D74212CAF817}"/>
    <cellStyle name="Percent 64" xfId="800" xr:uid="{041FA0A6-30A6-4642-87AD-59CFEF403238}"/>
    <cellStyle name="Percent 64 2" xfId="801" xr:uid="{818278C9-C01A-4DA1-9919-EECE564127B1}"/>
    <cellStyle name="Percent 65" xfId="802" xr:uid="{D2A4367E-AD14-4C74-9037-4F80DBB8991A}"/>
    <cellStyle name="Percent 65 2" xfId="803" xr:uid="{0CEB5AEC-CE4F-42D6-9087-4BEED97F7EF9}"/>
    <cellStyle name="Percent 66" xfId="804" xr:uid="{02D01758-CD31-4976-AD21-6B7FADC25C0D}"/>
    <cellStyle name="Percent 67" xfId="805" xr:uid="{FBDF9F0C-3710-4AAF-97E6-BAA4FD2319DB}"/>
    <cellStyle name="Percent 68" xfId="806" xr:uid="{EF8A6C18-84E1-4955-9526-6FB799D1C493}"/>
    <cellStyle name="Percent 69" xfId="807" xr:uid="{8A0CE43B-23F9-49EB-A4D4-D83A15D0C5CE}"/>
    <cellStyle name="Percent 7" xfId="808" xr:uid="{E735B0C2-9A10-4126-B399-CFBBAE7BF935}"/>
    <cellStyle name="Percent 7 2" xfId="809" xr:uid="{55B7E732-1BB2-43A2-A9A5-700011AD47E6}"/>
    <cellStyle name="Percent 70" xfId="810" xr:uid="{1858E762-B5FB-4883-8175-AFFFE65B44A0}"/>
    <cellStyle name="Percent 71" xfId="811" xr:uid="{38D3D7C5-9A61-49CF-B48D-54A57CA961E6}"/>
    <cellStyle name="Percent 72" xfId="812" xr:uid="{3F4FE912-4A3E-4993-A217-A04F81CDB4EF}"/>
    <cellStyle name="Percent 8" xfId="813" xr:uid="{ED2D5345-DD84-4069-AC8C-6DC832370E60}"/>
    <cellStyle name="Percent 9" xfId="814" xr:uid="{53D8DF20-CFEC-4612-BC7A-A03C1943C5DD}"/>
    <cellStyle name="Pourcentage" xfId="815" builtinId="5"/>
    <cellStyle name="PrePop Currency (0)" xfId="816" xr:uid="{D0004244-F534-4C42-9CDF-FC58EA3CCB9B}"/>
    <cellStyle name="PrePop Currency (2)" xfId="817" xr:uid="{31E13EF7-27C3-4FD2-96DE-4149FBE1FDDF}"/>
    <cellStyle name="PrePop Units (0)" xfId="818" xr:uid="{FE917E47-63AD-4438-9217-C3BEF5097AF9}"/>
    <cellStyle name="PrePop Units (1)" xfId="819" xr:uid="{E1AA305D-5EF9-4E3C-9B70-249F93272E5C}"/>
    <cellStyle name="PrePop Units (1) 2" xfId="820" xr:uid="{44FED49F-8D33-4BFA-8652-DC19F2073909}"/>
    <cellStyle name="PrePop Units (2)" xfId="821" xr:uid="{939C5E14-42DF-417B-928E-1AAD16CF7C14}"/>
    <cellStyle name="pricing" xfId="822" xr:uid="{8DCE8563-F09D-4977-822B-5B3902B87E66}"/>
    <cellStyle name="PSChar" xfId="823" xr:uid="{C3FEF62A-8A12-4281-8581-F97997B34965}"/>
    <cellStyle name="PSHeading" xfId="824" xr:uid="{B0C1C960-5EAE-47E7-BE60-D94A3E724E91}"/>
    <cellStyle name="SAPBEXaggItem" xfId="825" xr:uid="{13E283E5-37CF-4BC9-A40E-0560A06D30F6}"/>
    <cellStyle name="Standard 2" xfId="826" xr:uid="{55CD93C3-7D26-4763-80D9-DBC8E66533A3}"/>
    <cellStyle name="Standard 4" xfId="827" xr:uid="{8D177DAA-828B-4A05-997C-C10BF3919985}"/>
    <cellStyle name="Standard_GER" xfId="828" xr:uid="{295FEA7D-33F4-41B8-9DEB-17CD07970789}"/>
    <cellStyle name="Testo avviso" xfId="829" xr:uid="{AA4D5650-8C9E-4FB7-9665-00BC633EE20F}"/>
    <cellStyle name="Testo descrittivo" xfId="830" xr:uid="{51C93F23-8944-4CCD-BDFE-1056E8F9C1BB}"/>
    <cellStyle name="Text Indent A" xfId="831" xr:uid="{162B84D0-FDF2-4E67-918E-2C9BFF4882EE}"/>
    <cellStyle name="Text Indent B" xfId="832" xr:uid="{3D5B7117-CCCE-4E29-922B-037EF594E77F}"/>
    <cellStyle name="Text Indent B 2" xfId="833" xr:uid="{734F2CDB-4D65-4D90-9C46-D5050091C0D0}"/>
    <cellStyle name="Text Indent C" xfId="834" xr:uid="{681D7328-D049-4CE4-8AC5-9F31EB809478}"/>
    <cellStyle name="Text Indent C 2" xfId="835" xr:uid="{B0484B8C-88B4-40DA-8A19-72DADC4BB132}"/>
    <cellStyle name="þ_x001d_ðK_x000c_Fý_x001b__x000a_9ýU_x0001_Ð_x0008_¦)_x0007__x0001__x0001_" xfId="836" xr:uid="{ECA4777E-8925-4A8D-B49D-87AD6C40F173}"/>
    <cellStyle name="þ_x001d_ðK_x000c_Fý_x001b__x000d_9ýU_x0001_Ð_x0008_¦)_x0007__x0001__x0001_" xfId="837" xr:uid="{60A003DC-ED7F-4483-A6EF-F96069E7CCC1}"/>
    <cellStyle name="Title 2" xfId="838" xr:uid="{5996DB6C-6036-45B4-A7C6-7F56CCDC1D47}"/>
    <cellStyle name="Title 3" xfId="839" xr:uid="{4D7F4311-75A7-46C1-8DC2-38651A349874}"/>
    <cellStyle name="Title 4" xfId="840" xr:uid="{1EE873E9-CFE5-4D6D-AF8B-F95F8FFEF56C}"/>
    <cellStyle name="Titolo" xfId="841" xr:uid="{4762D88E-F8DA-4054-93E4-5E026C8E3E0B}"/>
    <cellStyle name="Titolo 1" xfId="842" xr:uid="{64FE02A6-E30F-4119-A459-797A9802649E}"/>
    <cellStyle name="Titolo 2" xfId="843" xr:uid="{C875D2F8-C5EC-4E0E-BFFC-1FB9871E0947}"/>
    <cellStyle name="Titolo 3" xfId="844" xr:uid="{0B5AD27B-3BC6-43E3-80F1-B5BAFBFDA90A}"/>
    <cellStyle name="Titolo 4" xfId="845" xr:uid="{1AB41265-6E11-4274-9240-48C92C091763}"/>
    <cellStyle name="Total 2" xfId="846" xr:uid="{7C9746FC-CB4E-4AC3-86D4-DC580F5A95AE}"/>
    <cellStyle name="Total 3" xfId="847" xr:uid="{82D98123-4940-4626-B4CE-23A118B3A9C7}"/>
    <cellStyle name="Total 4" xfId="848" xr:uid="{E5E1F0E6-5471-4142-A1D9-98A9D5B80A6C}"/>
    <cellStyle name="Totale" xfId="849" xr:uid="{2598E4AC-365E-48F6-8134-3F61A387FC7E}"/>
    <cellStyle name="Tusental (0)_DIM12" xfId="850" xr:uid="{87203D7A-2892-4FC7-8EA6-9663E8D4C4E6}"/>
    <cellStyle name="Tusental_DIM12" xfId="851" xr:uid="{A2D5979D-5FB6-41D4-8E14-7F743B86A3FE}"/>
    <cellStyle name="Update" xfId="852" xr:uid="{D2FB8388-9860-46B7-A495-0B686228E754}"/>
    <cellStyle name="Valore non valido" xfId="853" xr:uid="{7AC576BD-1F43-40DC-B835-8109D9FE7968}"/>
    <cellStyle name="Valore valido" xfId="854" xr:uid="{553A641A-B73A-4E26-98F2-86DD5E8ABFE8}"/>
    <cellStyle name="Valuta (0)_Cartel2" xfId="855" xr:uid="{4BEFEA63-6A7B-438A-B5B8-BA02D5130DBA}"/>
    <cellStyle name="Valuta_DIM12" xfId="856" xr:uid="{FAE9616D-EFB9-40AD-8A9C-31BD68E4E95C}"/>
    <cellStyle name="Währung [0]_laroux" xfId="857" xr:uid="{3D71F0BF-B378-4776-8A0A-A08AC7791EB6}"/>
    <cellStyle name="Währung_laroux" xfId="858" xr:uid="{6BCA5079-CC3C-437A-8322-C2A91894580E}"/>
    <cellStyle name="Warning Text 2" xfId="859" xr:uid="{602A3330-95F3-49D2-9293-DD838940EE97}"/>
    <cellStyle name="Warning Text 3" xfId="860" xr:uid="{5D3250AF-2D2E-4725-B897-F1036457F85F}"/>
    <cellStyle name="Warning Text 4" xfId="861" xr:uid="{AE5E2219-5700-4894-AEE0-13A334182E4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x\LYAUDET\I\IPPA\TVAAN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pt.lu/DEPT/DOB_PRIVATE_EQUITY/COMMON/Administration%20Desk/CACEIS%20FEES/ELITE%20-%20Nobles%20Crus/Caceis%20fees%201er%20trimestre%20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comptables-my.sharepoint.com/personal/j_perdigao_jpfiduciaire_lu/Documents/1-JP%20Indep.-27.6.26-wait%201Drive/Cl%20e%20templ-d&#232;s%2026.6.2026/01%20Clients%2026/Da%20Costa-MPTV/2%20MPTV/2021/VAT/V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1"/>
      <sheetName val="pg2"/>
      <sheetName val="pg3"/>
      <sheetName val="pg4"/>
      <sheetName val="BIprépa"/>
      <sheetName val="BI - TVA Lux"/>
      <sheetName val="BI - Preneur débiteur"/>
      <sheetName val="BI - Pas de TVA"/>
      <sheetName val="TVA-A-Adjsts"/>
      <sheetName val="PD-Adjsts"/>
      <sheetName val="CA récap."/>
      <sheetName val="Amont récap."/>
      <sheetName val="PD récap."/>
      <sheetName val="prorata"/>
      <sheetName val="prépaprorata"/>
      <sheetName val="B"/>
      <sheetName val="PP"/>
      <sheetName val="CP"/>
      <sheetName val="APD"/>
      <sheetName val="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r trimestre"/>
      <sheetName val="Sheet1"/>
      <sheetName val="Logos"/>
    </sheetNames>
    <sheetDataSet>
      <sheetData sheetId="0"/>
      <sheetData sheetId="1">
        <row r="1">
          <cell r="A1" t="str">
            <v>Sport Investments SCA, SICAR</v>
          </cell>
        </row>
        <row r="2">
          <cell r="A2" t="str">
            <v>NovEnergia II Energy &amp; Environment (SCA) SICAR</v>
          </cell>
        </row>
        <row r="3">
          <cell r="A3" t="str">
            <v>MERIDIAM INFRASTRUCTURE</v>
          </cell>
        </row>
        <row r="4">
          <cell r="A4" t="str">
            <v>FAM Sports Sarl</v>
          </cell>
        </row>
        <row r="5">
          <cell r="A5" t="str">
            <v>European Carbon Fund</v>
          </cell>
        </row>
        <row r="31">
          <cell r="A31" t="str">
            <v>Sport Investments SCA, SICAR</v>
          </cell>
        </row>
        <row r="32">
          <cell r="A32" t="str">
            <v>NovEnergia II Energy &amp; Environment (SCA) SICAR</v>
          </cell>
        </row>
        <row r="33">
          <cell r="A33" t="str">
            <v>MERIDIAM INFRASTRUCTURE</v>
          </cell>
        </row>
        <row r="34">
          <cell r="A34" t="str">
            <v>FAM Sports Sarl</v>
          </cell>
        </row>
        <row r="35">
          <cell r="A35" t="str">
            <v>European Carbon Fund</v>
          </cell>
        </row>
        <row r="61">
          <cell r="A61" t="str">
            <v>Sport Investments SCA, SICAR</v>
          </cell>
        </row>
        <row r="62">
          <cell r="A62" t="str">
            <v>NovEnergia II Energy &amp; Environment (SCA) SICAR</v>
          </cell>
        </row>
        <row r="63">
          <cell r="A63" t="str">
            <v>MERIDIAM INFRASTRUCTURE</v>
          </cell>
        </row>
        <row r="64">
          <cell r="A64" t="str">
            <v>FAM Sports Sarl</v>
          </cell>
        </row>
        <row r="65">
          <cell r="A65" t="str">
            <v>European Carbon Fund</v>
          </cell>
        </row>
        <row r="91">
          <cell r="A91" t="str">
            <v>Sport Investments SCA, SICAR</v>
          </cell>
        </row>
        <row r="92">
          <cell r="A92" t="str">
            <v>NovEnergia II Energy &amp; Environment (SCA) SICAR</v>
          </cell>
        </row>
        <row r="93">
          <cell r="A93" t="str">
            <v>MERIDIAM INFRASTRUCTURE</v>
          </cell>
        </row>
        <row r="94">
          <cell r="A94" t="str">
            <v>FAM Sports Sarl</v>
          </cell>
        </row>
        <row r="95">
          <cell r="A95" t="str">
            <v>European Carbon Fund</v>
          </cell>
        </row>
        <row r="121">
          <cell r="A121" t="str">
            <v>Sport Investments SCA, SICAR</v>
          </cell>
        </row>
        <row r="122">
          <cell r="A122" t="str">
            <v>NovEnergia II Energy &amp; Environment (SCA) SICAR</v>
          </cell>
        </row>
        <row r="123">
          <cell r="A123" t="str">
            <v>MERIDIAM INFRASTRUCTURE</v>
          </cell>
        </row>
        <row r="124">
          <cell r="A124" t="str">
            <v>FAM Sports Sarl</v>
          </cell>
        </row>
        <row r="125">
          <cell r="A125" t="str">
            <v>European Carbon Fund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 ID sheet"/>
      <sheetName val="Cover"/>
      <sheetName val="Index"/>
      <sheetName val="Chida art. 43 - LIC"/>
      <sheetName val="Chida_HUE"/>
      <sheetName val="Chida_LUX"/>
      <sheetName val="Achats_LUX"/>
      <sheetName val="AIC"/>
      <sheetName val="Chida_UE"/>
      <sheetName val="Importations"/>
      <sheetName val="Montant TVA déductible"/>
      <sheetName val="Chida art. 44"/>
      <sheetName val="Ventes Triangulaire"/>
      <sheetName val="Achat Triangulaire"/>
      <sheetName val="PRC"/>
      <sheetName val="Prorata"/>
      <sheetName val="PRORATA NEW"/>
      <sheetName val="Fichier de refacturation"/>
      <sheetName val="Sheet1"/>
    </sheetNames>
    <sheetDataSet>
      <sheetData sheetId="0"/>
      <sheetData sheetId="1"/>
      <sheetData sheetId="2">
        <row r="28">
          <cell r="A28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B00C-6543-4FFD-87FE-A6AE742221C4}">
  <sheetPr codeName="Sheet5">
    <tabColor theme="3" tint="-0.249977111117893"/>
    <pageSetUpPr fitToPage="1"/>
  </sheetPr>
  <dimension ref="A1:DY75"/>
  <sheetViews>
    <sheetView showGridLines="0" tabSelected="1" view="pageBreakPreview" zoomScaleNormal="100" zoomScaleSheetLayoutView="100" workbookViewId="0">
      <selection activeCell="B29" sqref="B29"/>
    </sheetView>
  </sheetViews>
  <sheetFormatPr baseColWidth="10" defaultColWidth="9.28515625" defaultRowHeight="14.25"/>
  <cols>
    <col min="1" max="1" width="2.7109375" style="14" customWidth="1"/>
    <col min="2" max="2" width="11.7109375" style="4" customWidth="1"/>
    <col min="3" max="3" width="22.5703125" style="4" customWidth="1"/>
    <col min="4" max="4" width="20.5703125" style="4" customWidth="1"/>
    <col min="5" max="5" width="17.7109375" style="4" customWidth="1"/>
    <col min="6" max="6" width="18.42578125" style="4" customWidth="1"/>
    <col min="7" max="7" width="9.5703125" style="4" customWidth="1"/>
    <col min="8" max="8" width="14.7109375" style="4" customWidth="1"/>
    <col min="9" max="9" width="17" style="4" customWidth="1"/>
    <col min="10" max="10" width="2.7109375" style="14" customWidth="1"/>
    <col min="11" max="11" width="9.28515625" style="4" customWidth="1"/>
    <col min="12" max="12" width="8.85546875" style="4" customWidth="1"/>
    <col min="13" max="13" width="9.28515625" style="4" hidden="1" customWidth="1"/>
    <col min="14" max="16384" width="9.28515625" style="4"/>
  </cols>
  <sheetData>
    <row r="1" spans="1:129" ht="15">
      <c r="A1" s="12"/>
      <c r="B1" s="117" t="s">
        <v>79</v>
      </c>
      <c r="C1" s="11"/>
      <c r="D1" s="19"/>
      <c r="E1" s="19"/>
      <c r="F1" s="19"/>
      <c r="G1" s="20"/>
      <c r="H1" s="19"/>
      <c r="I1" s="20" t="s">
        <v>40</v>
      </c>
      <c r="J1" s="12"/>
    </row>
    <row r="2" spans="1:129" ht="15">
      <c r="A2" s="12"/>
      <c r="B2" s="118" t="s">
        <v>46</v>
      </c>
      <c r="C2" s="11"/>
      <c r="D2" s="19"/>
      <c r="E2" s="19"/>
      <c r="F2" s="19"/>
      <c r="G2" s="19"/>
      <c r="H2" s="23"/>
      <c r="I2" s="19"/>
      <c r="J2" s="12"/>
    </row>
    <row r="3" spans="1:129" ht="15">
      <c r="A3" s="12"/>
      <c r="C3" s="11"/>
      <c r="D3" s="22"/>
      <c r="E3" s="22"/>
      <c r="F3" s="22"/>
      <c r="G3" s="19"/>
      <c r="H3" s="23"/>
      <c r="I3" s="19"/>
      <c r="J3" s="12"/>
    </row>
    <row r="4" spans="1:129">
      <c r="A4" s="12"/>
      <c r="B4" s="118" t="s">
        <v>45</v>
      </c>
      <c r="C4" s="13"/>
      <c r="D4" s="14"/>
      <c r="E4" s="14"/>
      <c r="F4" s="13"/>
      <c r="G4" s="14"/>
      <c r="H4" s="23"/>
      <c r="I4" s="19"/>
      <c r="J4" s="12"/>
    </row>
    <row r="5" spans="1:129" ht="15">
      <c r="A5" s="12"/>
      <c r="B5" s="19"/>
      <c r="C5" s="31"/>
      <c r="D5" s="31"/>
      <c r="E5" s="31"/>
      <c r="F5" s="19"/>
      <c r="G5" s="19"/>
      <c r="H5" s="19"/>
      <c r="I5" s="19"/>
      <c r="J5" s="12"/>
    </row>
    <row r="6" spans="1:129" s="77" customFormat="1" ht="15.75">
      <c r="A6" s="66"/>
      <c r="B6" s="305" t="s">
        <v>44</v>
      </c>
      <c r="C6" s="305"/>
      <c r="D6" s="306"/>
      <c r="E6" s="306"/>
      <c r="F6" s="306"/>
      <c r="G6" s="306"/>
      <c r="H6" s="306"/>
      <c r="I6" s="306"/>
      <c r="J6" s="66"/>
    </row>
    <row r="7" spans="1:129" s="77" customFormat="1" ht="15.75">
      <c r="A7" s="66"/>
      <c r="B7" s="70"/>
      <c r="C7" s="68"/>
      <c r="D7" s="68"/>
      <c r="E7" s="68"/>
      <c r="F7" s="68"/>
      <c r="G7" s="68"/>
      <c r="H7" s="68"/>
      <c r="I7" s="68"/>
      <c r="J7" s="66"/>
    </row>
    <row r="8" spans="1:129" s="77" customFormat="1" ht="15.75">
      <c r="A8" s="66"/>
      <c r="B8" s="303"/>
      <c r="C8" s="303"/>
      <c r="D8" s="303"/>
      <c r="E8" s="303"/>
      <c r="F8" s="303"/>
      <c r="G8" s="303"/>
      <c r="H8" s="303"/>
      <c r="I8" s="303"/>
      <c r="J8" s="120"/>
      <c r="K8" s="120"/>
      <c r="L8" s="120"/>
    </row>
    <row r="9" spans="1:129" ht="15">
      <c r="A9" s="37"/>
      <c r="B9" s="19"/>
      <c r="C9" s="33"/>
      <c r="D9" s="33"/>
      <c r="E9" s="33"/>
      <c r="F9" s="32"/>
      <c r="G9" s="32"/>
      <c r="H9" s="32"/>
      <c r="I9" s="32"/>
      <c r="J9" s="37"/>
    </row>
    <row r="10" spans="1:129" ht="15.75" thickBot="1">
      <c r="B10" s="19"/>
      <c r="C10" s="33"/>
      <c r="D10" s="33"/>
      <c r="E10" s="33"/>
      <c r="F10" s="32"/>
      <c r="G10" s="32"/>
      <c r="H10" s="32"/>
      <c r="I10" s="32"/>
    </row>
    <row r="11" spans="1:129" s="51" customFormat="1" ht="40.15" customHeight="1">
      <c r="A11" s="48"/>
      <c r="B11" s="121" t="s">
        <v>0</v>
      </c>
      <c r="C11" s="122" t="s">
        <v>23</v>
      </c>
      <c r="D11" s="123" t="s">
        <v>6</v>
      </c>
      <c r="E11" s="124" t="s">
        <v>3</v>
      </c>
      <c r="F11" s="125" t="s">
        <v>13</v>
      </c>
      <c r="G11" s="125" t="s">
        <v>18</v>
      </c>
      <c r="H11" s="125" t="s">
        <v>20</v>
      </c>
      <c r="I11" s="126" t="s">
        <v>19</v>
      </c>
      <c r="J11" s="48"/>
    </row>
    <row r="12" spans="1:129" s="90" customFormat="1" ht="12.75">
      <c r="A12" s="91"/>
      <c r="B12" s="128">
        <v>45709</v>
      </c>
      <c r="C12" s="129" t="s">
        <v>80</v>
      </c>
      <c r="D12" s="130" t="s">
        <v>81</v>
      </c>
      <c r="E12" s="130" t="s">
        <v>82</v>
      </c>
      <c r="F12" s="131">
        <v>35</v>
      </c>
      <c r="G12" s="132">
        <v>0</v>
      </c>
      <c r="H12" s="133">
        <f>F12*G12</f>
        <v>0</v>
      </c>
      <c r="I12" s="133">
        <f>F12+H12</f>
        <v>35</v>
      </c>
      <c r="J12" s="91"/>
      <c r="K12" s="97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3"/>
      <c r="DN12" s="103"/>
      <c r="DO12" s="103"/>
      <c r="DP12" s="103"/>
      <c r="DQ12" s="103"/>
      <c r="DR12" s="103"/>
      <c r="DS12" s="103"/>
      <c r="DT12" s="103"/>
      <c r="DU12" s="103"/>
      <c r="DV12" s="103"/>
      <c r="DW12" s="103"/>
      <c r="DX12" s="103"/>
      <c r="DY12" s="103"/>
    </row>
    <row r="13" spans="1:129" s="90" customFormat="1" ht="12.75">
      <c r="A13" s="91"/>
      <c r="B13" s="128">
        <v>45747</v>
      </c>
      <c r="C13" s="129" t="s">
        <v>83</v>
      </c>
      <c r="D13" s="130">
        <v>500110190000254</v>
      </c>
      <c r="E13" s="130" t="s">
        <v>84</v>
      </c>
      <c r="F13" s="131">
        <v>10.23</v>
      </c>
      <c r="G13" s="132">
        <v>0.17</v>
      </c>
      <c r="H13" s="133">
        <f t="shared" ref="H13:H49" si="0">F13*G13</f>
        <v>1.7391000000000001</v>
      </c>
      <c r="I13" s="133">
        <f t="shared" ref="I13:I49" si="1">F13+H13</f>
        <v>11.969100000000001</v>
      </c>
      <c r="J13" s="91"/>
      <c r="K13" s="97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3"/>
      <c r="DN13" s="103"/>
      <c r="DO13" s="103"/>
      <c r="DP13" s="103"/>
      <c r="DQ13" s="103"/>
      <c r="DR13" s="103"/>
      <c r="DS13" s="103"/>
      <c r="DT13" s="103"/>
      <c r="DU13" s="103"/>
      <c r="DV13" s="103"/>
      <c r="DW13" s="103"/>
      <c r="DX13" s="103"/>
      <c r="DY13" s="103"/>
    </row>
    <row r="14" spans="1:129" s="90" customFormat="1" ht="12.75">
      <c r="A14" s="91"/>
      <c r="B14" s="128">
        <v>45733</v>
      </c>
      <c r="C14" s="129" t="s">
        <v>83</v>
      </c>
      <c r="D14" s="130">
        <v>500910190002255</v>
      </c>
      <c r="E14" s="130" t="s">
        <v>84</v>
      </c>
      <c r="F14" s="131">
        <v>22.95</v>
      </c>
      <c r="G14" s="132">
        <v>0.17</v>
      </c>
      <c r="H14" s="133">
        <f t="shared" si="0"/>
        <v>3.9015</v>
      </c>
      <c r="I14" s="133">
        <f t="shared" si="1"/>
        <v>26.851499999999998</v>
      </c>
      <c r="J14" s="91"/>
      <c r="K14" s="97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3"/>
      <c r="DA14" s="103"/>
      <c r="DB14" s="103"/>
      <c r="DC14" s="103"/>
      <c r="DD14" s="103"/>
      <c r="DE14" s="103"/>
      <c r="DF14" s="103"/>
      <c r="DG14" s="103"/>
      <c r="DH14" s="103"/>
      <c r="DI14" s="103"/>
      <c r="DJ14" s="103"/>
      <c r="DK14" s="103"/>
      <c r="DL14" s="103"/>
      <c r="DM14" s="103"/>
      <c r="DN14" s="103"/>
      <c r="DO14" s="103"/>
      <c r="DP14" s="103"/>
      <c r="DQ14" s="103"/>
      <c r="DR14" s="103"/>
      <c r="DS14" s="103"/>
      <c r="DT14" s="103"/>
      <c r="DU14" s="103"/>
      <c r="DV14" s="103"/>
      <c r="DW14" s="103"/>
      <c r="DX14" s="103"/>
      <c r="DY14" s="103"/>
    </row>
    <row r="15" spans="1:129" s="90" customFormat="1" ht="12.75">
      <c r="A15" s="91"/>
      <c r="B15" s="128">
        <v>45740</v>
      </c>
      <c r="C15" s="129" t="s">
        <v>85</v>
      </c>
      <c r="D15" s="130" t="s">
        <v>86</v>
      </c>
      <c r="E15" s="130" t="s">
        <v>87</v>
      </c>
      <c r="F15" s="131">
        <v>29.11</v>
      </c>
      <c r="G15" s="132">
        <v>0.03</v>
      </c>
      <c r="H15" s="133">
        <f t="shared" si="0"/>
        <v>0.87329999999999997</v>
      </c>
      <c r="I15" s="133">
        <f t="shared" si="1"/>
        <v>29.9833</v>
      </c>
      <c r="J15" s="91"/>
      <c r="K15" s="97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3"/>
      <c r="DN15" s="103"/>
      <c r="DO15" s="103"/>
      <c r="DP15" s="103"/>
      <c r="DQ15" s="103"/>
      <c r="DR15" s="103"/>
      <c r="DS15" s="103"/>
      <c r="DT15" s="103"/>
      <c r="DU15" s="103"/>
      <c r="DV15" s="103"/>
      <c r="DW15" s="103"/>
      <c r="DX15" s="103"/>
      <c r="DY15" s="103"/>
    </row>
    <row r="16" spans="1:129" s="90" customFormat="1" ht="12.75">
      <c r="A16" s="91"/>
      <c r="B16" s="128">
        <v>45721</v>
      </c>
      <c r="C16" s="129" t="s">
        <v>88</v>
      </c>
      <c r="D16" s="130">
        <v>50140100578850</v>
      </c>
      <c r="E16" s="130" t="s">
        <v>87</v>
      </c>
      <c r="F16" s="131">
        <v>15.97</v>
      </c>
      <c r="G16" s="132">
        <v>0.03</v>
      </c>
      <c r="H16" s="133">
        <f t="shared" si="0"/>
        <v>0.47910000000000003</v>
      </c>
      <c r="I16" s="133">
        <f t="shared" si="1"/>
        <v>16.449100000000001</v>
      </c>
      <c r="J16" s="91"/>
      <c r="K16" s="97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03"/>
      <c r="DP16" s="103"/>
      <c r="DQ16" s="103"/>
      <c r="DR16" s="103"/>
      <c r="DS16" s="103"/>
      <c r="DT16" s="103"/>
      <c r="DU16" s="103"/>
      <c r="DV16" s="103"/>
      <c r="DW16" s="103"/>
      <c r="DX16" s="103"/>
      <c r="DY16" s="103"/>
    </row>
    <row r="17" spans="1:129" s="90" customFormat="1" ht="12.75">
      <c r="A17" s="91"/>
      <c r="B17" s="128">
        <v>45721</v>
      </c>
      <c r="C17" s="129" t="s">
        <v>88</v>
      </c>
      <c r="D17" s="130">
        <v>50140100578850</v>
      </c>
      <c r="E17" s="130" t="s">
        <v>87</v>
      </c>
      <c r="F17" s="131">
        <v>5.13</v>
      </c>
      <c r="G17" s="132">
        <v>0.17</v>
      </c>
      <c r="H17" s="133">
        <f t="shared" si="0"/>
        <v>0.8721000000000001</v>
      </c>
      <c r="I17" s="133">
        <f t="shared" si="1"/>
        <v>6.0021000000000004</v>
      </c>
      <c r="J17" s="91"/>
      <c r="K17" s="97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3"/>
      <c r="DN17" s="103"/>
      <c r="DO17" s="103"/>
      <c r="DP17" s="103"/>
      <c r="DQ17" s="103"/>
      <c r="DR17" s="103"/>
      <c r="DS17" s="103"/>
      <c r="DT17" s="103"/>
      <c r="DU17" s="103"/>
      <c r="DV17" s="103"/>
      <c r="DW17" s="103"/>
      <c r="DX17" s="103"/>
      <c r="DY17" s="103"/>
    </row>
    <row r="18" spans="1:129" s="90" customFormat="1" ht="12.75">
      <c r="A18" s="91"/>
      <c r="B18" s="128">
        <v>45721</v>
      </c>
      <c r="C18" s="129" t="s">
        <v>89</v>
      </c>
      <c r="D18" s="130" t="s">
        <v>90</v>
      </c>
      <c r="E18" s="130" t="s">
        <v>91</v>
      </c>
      <c r="F18" s="131">
        <v>792.71</v>
      </c>
      <c r="G18" s="132">
        <v>0.17</v>
      </c>
      <c r="H18" s="133">
        <f t="shared" si="0"/>
        <v>134.76070000000001</v>
      </c>
      <c r="I18" s="133">
        <f t="shared" si="1"/>
        <v>927.47070000000008</v>
      </c>
      <c r="J18" s="91"/>
      <c r="K18" s="97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  <c r="DE18" s="103"/>
      <c r="DF18" s="103"/>
      <c r="DG18" s="103"/>
      <c r="DH18" s="103"/>
      <c r="DI18" s="103"/>
      <c r="DJ18" s="103"/>
      <c r="DK18" s="103"/>
      <c r="DL18" s="103"/>
      <c r="DM18" s="103"/>
      <c r="DN18" s="103"/>
      <c r="DO18" s="103"/>
      <c r="DP18" s="103"/>
      <c r="DQ18" s="103"/>
      <c r="DR18" s="103"/>
      <c r="DS18" s="103"/>
      <c r="DT18" s="103"/>
      <c r="DU18" s="103"/>
      <c r="DV18" s="103"/>
      <c r="DW18" s="103"/>
      <c r="DX18" s="103"/>
      <c r="DY18" s="103"/>
    </row>
    <row r="19" spans="1:129" s="90" customFormat="1" ht="12.75">
      <c r="A19" s="91"/>
      <c r="B19" s="128">
        <v>45733</v>
      </c>
      <c r="C19" s="129" t="s">
        <v>92</v>
      </c>
      <c r="D19" s="130">
        <v>25030078</v>
      </c>
      <c r="E19" s="130" t="s">
        <v>84</v>
      </c>
      <c r="F19" s="131">
        <v>30.85</v>
      </c>
      <c r="G19" s="132">
        <v>0.17</v>
      </c>
      <c r="H19" s="133">
        <f t="shared" si="0"/>
        <v>5.2445000000000004</v>
      </c>
      <c r="I19" s="133">
        <f t="shared" si="1"/>
        <v>36.094500000000004</v>
      </c>
      <c r="J19" s="91"/>
      <c r="K19" s="97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3"/>
      <c r="DA19" s="103"/>
      <c r="DB19" s="103"/>
      <c r="DC19" s="103"/>
      <c r="DD19" s="103"/>
      <c r="DE19" s="103"/>
      <c r="DF19" s="103"/>
      <c r="DG19" s="103"/>
      <c r="DH19" s="103"/>
      <c r="DI19" s="103"/>
      <c r="DJ19" s="103"/>
      <c r="DK19" s="103"/>
      <c r="DL19" s="103"/>
      <c r="DM19" s="103"/>
      <c r="DN19" s="103"/>
      <c r="DO19" s="103"/>
      <c r="DP19" s="103"/>
      <c r="DQ19" s="103"/>
      <c r="DR19" s="103"/>
      <c r="DS19" s="103"/>
      <c r="DT19" s="103"/>
      <c r="DU19" s="103"/>
      <c r="DV19" s="103"/>
      <c r="DW19" s="103"/>
      <c r="DX19" s="103"/>
      <c r="DY19" s="103"/>
    </row>
    <row r="20" spans="1:129" s="90" customFormat="1" ht="12.75">
      <c r="A20" s="91"/>
      <c r="B20" s="146">
        <v>45748</v>
      </c>
      <c r="C20" s="147" t="s">
        <v>106</v>
      </c>
      <c r="D20" s="147" t="s">
        <v>107</v>
      </c>
      <c r="E20" s="147" t="s">
        <v>84</v>
      </c>
      <c r="F20" s="150">
        <v>202.47</v>
      </c>
      <c r="G20" s="132">
        <v>0.2</v>
      </c>
      <c r="H20" s="133">
        <f t="shared" si="0"/>
        <v>40.494</v>
      </c>
      <c r="I20" s="133">
        <f t="shared" si="1"/>
        <v>242.964</v>
      </c>
      <c r="J20" s="91"/>
      <c r="K20" s="97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</row>
    <row r="21" spans="1:129" s="90" customFormat="1" ht="12.75">
      <c r="A21" s="91"/>
      <c r="B21" s="128">
        <v>45775</v>
      </c>
      <c r="C21" s="129" t="s">
        <v>105</v>
      </c>
      <c r="D21" s="130">
        <v>250428080704</v>
      </c>
      <c r="E21" s="130" t="s">
        <v>84</v>
      </c>
      <c r="F21" s="131">
        <v>63.63</v>
      </c>
      <c r="G21" s="132">
        <v>0.17</v>
      </c>
      <c r="H21" s="133">
        <f t="shared" si="0"/>
        <v>10.817100000000002</v>
      </c>
      <c r="I21" s="133">
        <f t="shared" si="1"/>
        <v>74.447100000000006</v>
      </c>
      <c r="J21" s="91"/>
      <c r="K21" s="97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</row>
    <row r="22" spans="1:129" s="90" customFormat="1" ht="12.75">
      <c r="A22" s="91"/>
      <c r="B22" s="146">
        <v>45782</v>
      </c>
      <c r="C22" s="147" t="s">
        <v>106</v>
      </c>
      <c r="D22" s="147" t="s">
        <v>110</v>
      </c>
      <c r="E22" s="147" t="s">
        <v>84</v>
      </c>
      <c r="F22" s="300">
        <v>141.09</v>
      </c>
      <c r="G22" s="132">
        <v>0.2</v>
      </c>
      <c r="H22" s="133">
        <f t="shared" si="0"/>
        <v>28.218000000000004</v>
      </c>
      <c r="I22" s="133">
        <f t="shared" si="1"/>
        <v>169.30799999999999</v>
      </c>
      <c r="J22" s="91"/>
      <c r="K22" s="97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</row>
    <row r="23" spans="1:129" s="90" customFormat="1" ht="12.75">
      <c r="A23" s="91"/>
      <c r="B23" s="128">
        <v>45826</v>
      </c>
      <c r="C23" s="129" t="s">
        <v>122</v>
      </c>
      <c r="D23" s="130" t="s">
        <v>123</v>
      </c>
      <c r="E23" s="130" t="s">
        <v>84</v>
      </c>
      <c r="F23" s="131">
        <v>11.86</v>
      </c>
      <c r="G23" s="132">
        <v>0.17</v>
      </c>
      <c r="H23" s="133">
        <f t="shared" si="0"/>
        <v>2.0162</v>
      </c>
      <c r="I23" s="133">
        <f t="shared" si="1"/>
        <v>13.876199999999999</v>
      </c>
      <c r="J23" s="91"/>
      <c r="K23" s="97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  <c r="DU23" s="103"/>
      <c r="DV23" s="103"/>
      <c r="DW23" s="103"/>
      <c r="DX23" s="103"/>
      <c r="DY23" s="103"/>
    </row>
    <row r="24" spans="1:129" s="90" customFormat="1" ht="12.75">
      <c r="A24" s="91"/>
      <c r="B24" s="128" t="s">
        <v>128</v>
      </c>
      <c r="C24" s="129" t="s">
        <v>129</v>
      </c>
      <c r="D24" s="130">
        <v>804901</v>
      </c>
      <c r="E24" s="130" t="s">
        <v>130</v>
      </c>
      <c r="F24" s="131">
        <v>52.43</v>
      </c>
      <c r="G24" s="132">
        <v>0.03</v>
      </c>
      <c r="H24" s="133">
        <f t="shared" si="0"/>
        <v>1.5729</v>
      </c>
      <c r="I24" s="133">
        <f t="shared" si="1"/>
        <v>54.002899999999997</v>
      </c>
      <c r="J24" s="91"/>
      <c r="K24" s="97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3"/>
      <c r="DF24" s="103"/>
      <c r="DG24" s="103"/>
      <c r="DH24" s="103"/>
      <c r="DI24" s="103"/>
      <c r="DJ24" s="103"/>
      <c r="DK24" s="103"/>
      <c r="DL24" s="103"/>
      <c r="DM24" s="103"/>
      <c r="DN24" s="103"/>
      <c r="DO24" s="103"/>
      <c r="DP24" s="103"/>
      <c r="DQ24" s="103"/>
      <c r="DR24" s="103"/>
      <c r="DS24" s="103"/>
      <c r="DT24" s="103"/>
      <c r="DU24" s="103"/>
      <c r="DV24" s="103"/>
      <c r="DW24" s="103"/>
      <c r="DX24" s="103"/>
      <c r="DY24" s="103"/>
    </row>
    <row r="25" spans="1:129" s="90" customFormat="1" ht="12.75">
      <c r="A25" s="91"/>
      <c r="B25" s="128">
        <v>45847</v>
      </c>
      <c r="C25" s="129" t="s">
        <v>131</v>
      </c>
      <c r="D25" s="130">
        <v>242424002811</v>
      </c>
      <c r="E25" s="130" t="s">
        <v>84</v>
      </c>
      <c r="F25" s="131">
        <v>16.5</v>
      </c>
      <c r="G25" s="132">
        <v>0.17</v>
      </c>
      <c r="H25" s="133">
        <f t="shared" si="0"/>
        <v>2.8050000000000002</v>
      </c>
      <c r="I25" s="133">
        <f t="shared" si="1"/>
        <v>19.305</v>
      </c>
      <c r="J25" s="91"/>
      <c r="K25" s="97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3"/>
      <c r="DA25" s="103"/>
      <c r="DB25" s="103"/>
      <c r="DC25" s="103"/>
      <c r="DD25" s="103"/>
      <c r="DE25" s="103"/>
      <c r="DF25" s="103"/>
      <c r="DG25" s="103"/>
      <c r="DH25" s="103"/>
      <c r="DI25" s="103"/>
      <c r="DJ25" s="103"/>
      <c r="DK25" s="103"/>
      <c r="DL25" s="103"/>
      <c r="DM25" s="103"/>
      <c r="DN25" s="103"/>
      <c r="DO25" s="103"/>
      <c r="DP25" s="103"/>
      <c r="DQ25" s="103"/>
      <c r="DR25" s="103"/>
      <c r="DS25" s="103"/>
      <c r="DT25" s="103"/>
      <c r="DU25" s="103"/>
      <c r="DV25" s="103"/>
      <c r="DW25" s="103"/>
      <c r="DX25" s="103"/>
      <c r="DY25" s="103"/>
    </row>
    <row r="26" spans="1:129" s="90" customFormat="1" ht="12.75">
      <c r="A26" s="91"/>
      <c r="B26" s="128">
        <v>45985</v>
      </c>
      <c r="C26" s="129" t="s">
        <v>156</v>
      </c>
      <c r="D26" s="130">
        <v>869842</v>
      </c>
      <c r="E26" s="130" t="s">
        <v>84</v>
      </c>
      <c r="F26" s="131">
        <v>57.52</v>
      </c>
      <c r="G26" s="132">
        <v>0.17</v>
      </c>
      <c r="H26" s="133">
        <f t="shared" si="0"/>
        <v>9.7784000000000013</v>
      </c>
      <c r="I26" s="133">
        <f t="shared" si="1"/>
        <v>67.298400000000001</v>
      </c>
      <c r="J26" s="91"/>
      <c r="K26" s="97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  <c r="DA26" s="103"/>
      <c r="DB26" s="103"/>
      <c r="DC26" s="103"/>
      <c r="DD26" s="103"/>
      <c r="DE26" s="103"/>
      <c r="DF26" s="103"/>
      <c r="DG26" s="103"/>
      <c r="DH26" s="103"/>
      <c r="DI26" s="103"/>
      <c r="DJ26" s="103"/>
      <c r="DK26" s="103"/>
      <c r="DL26" s="103"/>
      <c r="DM26" s="103"/>
      <c r="DN26" s="103"/>
      <c r="DO26" s="103"/>
      <c r="DP26" s="103"/>
      <c r="DQ26" s="103"/>
      <c r="DR26" s="103"/>
      <c r="DS26" s="103"/>
      <c r="DT26" s="103"/>
      <c r="DU26" s="103"/>
      <c r="DV26" s="103"/>
      <c r="DW26" s="103"/>
      <c r="DX26" s="103"/>
      <c r="DY26" s="103"/>
    </row>
    <row r="27" spans="1:129" s="90" customFormat="1" ht="12.75">
      <c r="A27" s="91"/>
      <c r="B27" s="128">
        <v>45976</v>
      </c>
      <c r="C27" s="129" t="s">
        <v>158</v>
      </c>
      <c r="D27" s="130" t="s">
        <v>159</v>
      </c>
      <c r="E27" s="130" t="s">
        <v>84</v>
      </c>
      <c r="F27" s="131">
        <v>133.16</v>
      </c>
      <c r="G27" s="132">
        <v>0.17</v>
      </c>
      <c r="H27" s="133">
        <f t="shared" si="0"/>
        <v>22.6372</v>
      </c>
      <c r="I27" s="133">
        <f t="shared" si="1"/>
        <v>155.7972</v>
      </c>
      <c r="J27" s="91"/>
      <c r="K27" s="97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  <c r="BO27" s="103"/>
      <c r="BP27" s="103"/>
      <c r="BQ27" s="103"/>
      <c r="BR27" s="103"/>
      <c r="BS27" s="103"/>
      <c r="BT27" s="103"/>
      <c r="BU27" s="103"/>
      <c r="BV27" s="103"/>
      <c r="BW27" s="103"/>
      <c r="BX27" s="103"/>
      <c r="BY27" s="103"/>
      <c r="BZ27" s="103"/>
      <c r="CA27" s="103"/>
      <c r="CB27" s="103"/>
      <c r="CC27" s="103"/>
      <c r="CD27" s="103"/>
      <c r="CE27" s="103"/>
      <c r="CF27" s="103"/>
      <c r="CG27" s="103"/>
      <c r="CH27" s="103"/>
      <c r="CI27" s="103"/>
      <c r="CJ27" s="103"/>
      <c r="CK27" s="103"/>
      <c r="CL27" s="103"/>
      <c r="CM27" s="103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3"/>
      <c r="DB27" s="103"/>
      <c r="DC27" s="103"/>
      <c r="DD27" s="103"/>
      <c r="DE27" s="103"/>
      <c r="DF27" s="103"/>
      <c r="DG27" s="103"/>
      <c r="DH27" s="103"/>
      <c r="DI27" s="103"/>
      <c r="DJ27" s="103"/>
      <c r="DK27" s="103"/>
      <c r="DL27" s="103"/>
      <c r="DM27" s="103"/>
      <c r="DN27" s="103"/>
      <c r="DO27" s="103"/>
      <c r="DP27" s="103"/>
      <c r="DQ27" s="103"/>
      <c r="DR27" s="103"/>
      <c r="DS27" s="103"/>
      <c r="DT27" s="103"/>
      <c r="DU27" s="103"/>
      <c r="DV27" s="103"/>
      <c r="DW27" s="103"/>
      <c r="DX27" s="103"/>
      <c r="DY27" s="103"/>
    </row>
    <row r="28" spans="1:129" s="90" customFormat="1" ht="12.75">
      <c r="A28" s="91"/>
      <c r="B28" s="128">
        <v>46018</v>
      </c>
      <c r="C28" s="129" t="s">
        <v>156</v>
      </c>
      <c r="D28" s="130">
        <v>2025252007354</v>
      </c>
      <c r="E28" s="130" t="s">
        <v>84</v>
      </c>
      <c r="F28" s="131">
        <v>48.7</v>
      </c>
      <c r="G28" s="132">
        <v>0.17</v>
      </c>
      <c r="H28" s="133">
        <f t="shared" ref="H28:H46" si="2">F28*G28</f>
        <v>8.2790000000000017</v>
      </c>
      <c r="I28" s="133">
        <f t="shared" ref="I28:I46" si="3">F28+H28</f>
        <v>56.979000000000006</v>
      </c>
      <c r="J28" s="91"/>
      <c r="K28" s="97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  <c r="DA28" s="103"/>
      <c r="DB28" s="103"/>
      <c r="DC28" s="103"/>
      <c r="DD28" s="103"/>
      <c r="DE28" s="103"/>
      <c r="DF28" s="103"/>
      <c r="DG28" s="103"/>
      <c r="DH28" s="103"/>
      <c r="DI28" s="103"/>
      <c r="DJ28" s="103"/>
      <c r="DK28" s="103"/>
      <c r="DL28" s="103"/>
      <c r="DM28" s="103"/>
      <c r="DN28" s="103"/>
      <c r="DO28" s="103"/>
      <c r="DP28" s="103"/>
      <c r="DQ28" s="103"/>
      <c r="DR28" s="103"/>
      <c r="DS28" s="103"/>
      <c r="DT28" s="103"/>
      <c r="DU28" s="103"/>
      <c r="DV28" s="103"/>
      <c r="DW28" s="103"/>
      <c r="DX28" s="103"/>
      <c r="DY28" s="103"/>
    </row>
    <row r="29" spans="1:129" s="90" customFormat="1" ht="12.75">
      <c r="A29" s="91"/>
      <c r="B29" s="128"/>
      <c r="C29" s="129"/>
      <c r="D29" s="130"/>
      <c r="E29" s="130"/>
      <c r="F29" s="131"/>
      <c r="G29" s="132"/>
      <c r="H29" s="133">
        <f t="shared" si="2"/>
        <v>0</v>
      </c>
      <c r="I29" s="133">
        <f t="shared" si="3"/>
        <v>0</v>
      </c>
      <c r="J29" s="91"/>
      <c r="K29" s="97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3"/>
      <c r="CK29" s="103"/>
      <c r="CL29" s="103"/>
      <c r="CM29" s="103"/>
      <c r="CN29" s="103"/>
      <c r="CO29" s="103"/>
      <c r="CP29" s="103"/>
      <c r="CQ29" s="103"/>
      <c r="CR29" s="103"/>
      <c r="CS29" s="103"/>
      <c r="CT29" s="103"/>
      <c r="CU29" s="103"/>
      <c r="CV29" s="103"/>
      <c r="CW29" s="103"/>
      <c r="CX29" s="103"/>
      <c r="CY29" s="103"/>
      <c r="CZ29" s="103"/>
      <c r="DA29" s="103"/>
      <c r="DB29" s="103"/>
      <c r="DC29" s="103"/>
      <c r="DD29" s="103"/>
      <c r="DE29" s="103"/>
      <c r="DF29" s="103"/>
      <c r="DG29" s="103"/>
      <c r="DH29" s="103"/>
      <c r="DI29" s="103"/>
      <c r="DJ29" s="103"/>
      <c r="DK29" s="103"/>
      <c r="DL29" s="103"/>
      <c r="DM29" s="103"/>
      <c r="DN29" s="103"/>
      <c r="DO29" s="103"/>
      <c r="DP29" s="103"/>
      <c r="DQ29" s="103"/>
      <c r="DR29" s="103"/>
      <c r="DS29" s="103"/>
      <c r="DT29" s="103"/>
      <c r="DU29" s="103"/>
      <c r="DV29" s="103"/>
      <c r="DW29" s="103"/>
      <c r="DX29" s="103"/>
      <c r="DY29" s="103"/>
    </row>
    <row r="30" spans="1:129" s="90" customFormat="1" ht="12.75">
      <c r="A30" s="91"/>
      <c r="B30" s="128"/>
      <c r="C30" s="129"/>
      <c r="D30" s="130"/>
      <c r="E30" s="130"/>
      <c r="F30" s="131"/>
      <c r="G30" s="132"/>
      <c r="H30" s="133">
        <f t="shared" si="2"/>
        <v>0</v>
      </c>
      <c r="I30" s="133">
        <f t="shared" si="3"/>
        <v>0</v>
      </c>
      <c r="J30" s="91"/>
      <c r="K30" s="97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3"/>
      <c r="BW30" s="103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3"/>
      <c r="CM30" s="103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3"/>
      <c r="DN30" s="103"/>
      <c r="DO30" s="103"/>
      <c r="DP30" s="103"/>
      <c r="DQ30" s="103"/>
      <c r="DR30" s="103"/>
      <c r="DS30" s="103"/>
      <c r="DT30" s="103"/>
      <c r="DU30" s="103"/>
      <c r="DV30" s="103"/>
      <c r="DW30" s="103"/>
      <c r="DX30" s="103"/>
      <c r="DY30" s="103"/>
    </row>
    <row r="31" spans="1:129" s="90" customFormat="1" ht="12.75">
      <c r="A31" s="91"/>
      <c r="B31" s="128"/>
      <c r="C31" s="129"/>
      <c r="D31" s="130"/>
      <c r="E31" s="130"/>
      <c r="F31" s="131"/>
      <c r="G31" s="132"/>
      <c r="H31" s="133">
        <f t="shared" si="2"/>
        <v>0</v>
      </c>
      <c r="I31" s="133">
        <f t="shared" si="3"/>
        <v>0</v>
      </c>
      <c r="J31" s="91"/>
      <c r="K31" s="97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</row>
    <row r="32" spans="1:129" s="90" customFormat="1" ht="12.75">
      <c r="A32" s="91"/>
      <c r="B32" s="128"/>
      <c r="C32" s="129"/>
      <c r="D32" s="130"/>
      <c r="E32" s="130"/>
      <c r="F32" s="131"/>
      <c r="G32" s="132"/>
      <c r="H32" s="133">
        <f t="shared" si="2"/>
        <v>0</v>
      </c>
      <c r="I32" s="133">
        <f t="shared" si="3"/>
        <v>0</v>
      </c>
      <c r="J32" s="91"/>
      <c r="K32" s="97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  <c r="CH32" s="103"/>
      <c r="CI32" s="103"/>
      <c r="CJ32" s="103"/>
      <c r="CK32" s="103"/>
      <c r="CL32" s="103"/>
      <c r="CM32" s="103"/>
      <c r="CN32" s="103"/>
      <c r="CO32" s="103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3"/>
      <c r="DA32" s="103"/>
      <c r="DB32" s="103"/>
      <c r="DC32" s="103"/>
      <c r="DD32" s="103"/>
      <c r="DE32" s="103"/>
      <c r="DF32" s="103"/>
      <c r="DG32" s="103"/>
      <c r="DH32" s="103"/>
      <c r="DI32" s="103"/>
      <c r="DJ32" s="103"/>
      <c r="DK32" s="103"/>
      <c r="DL32" s="103"/>
      <c r="DM32" s="103"/>
      <c r="DN32" s="103"/>
      <c r="DO32" s="103"/>
      <c r="DP32" s="103"/>
      <c r="DQ32" s="103"/>
      <c r="DR32" s="103"/>
      <c r="DS32" s="103"/>
      <c r="DT32" s="103"/>
      <c r="DU32" s="103"/>
      <c r="DV32" s="103"/>
      <c r="DW32" s="103"/>
      <c r="DX32" s="103"/>
      <c r="DY32" s="103"/>
    </row>
    <row r="33" spans="1:129" s="90" customFormat="1" ht="12.75">
      <c r="A33" s="91"/>
      <c r="B33" s="128"/>
      <c r="C33" s="129"/>
      <c r="D33" s="130"/>
      <c r="E33" s="130"/>
      <c r="F33" s="131"/>
      <c r="G33" s="132"/>
      <c r="H33" s="133">
        <f t="shared" si="2"/>
        <v>0</v>
      </c>
      <c r="I33" s="133">
        <f t="shared" si="3"/>
        <v>0</v>
      </c>
      <c r="J33" s="91"/>
      <c r="K33" s="97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/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</row>
    <row r="34" spans="1:129" s="90" customFormat="1" ht="12.75">
      <c r="A34" s="91"/>
      <c r="B34" s="128"/>
      <c r="C34" s="129"/>
      <c r="D34" s="130"/>
      <c r="E34" s="130"/>
      <c r="F34" s="131"/>
      <c r="G34" s="132"/>
      <c r="H34" s="133">
        <f t="shared" si="2"/>
        <v>0</v>
      </c>
      <c r="I34" s="133">
        <f t="shared" si="3"/>
        <v>0</v>
      </c>
      <c r="J34" s="91"/>
      <c r="K34" s="97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103"/>
      <c r="BX34" s="103"/>
      <c r="BY34" s="103"/>
      <c r="BZ34" s="103"/>
      <c r="CA34" s="103"/>
      <c r="CB34" s="103"/>
      <c r="CC34" s="103"/>
      <c r="CD34" s="103"/>
      <c r="CE34" s="103"/>
      <c r="CF34" s="103"/>
      <c r="CG34" s="103"/>
      <c r="CH34" s="103"/>
      <c r="CI34" s="103"/>
      <c r="CJ34" s="103"/>
      <c r="CK34" s="103"/>
      <c r="CL34" s="103"/>
      <c r="CM34" s="103"/>
      <c r="CN34" s="103"/>
      <c r="CO34" s="103"/>
      <c r="CP34" s="103"/>
      <c r="CQ34" s="103"/>
      <c r="CR34" s="103"/>
      <c r="CS34" s="103"/>
      <c r="CT34" s="103"/>
      <c r="CU34" s="103"/>
      <c r="CV34" s="103"/>
      <c r="CW34" s="103"/>
      <c r="CX34" s="103"/>
      <c r="CY34" s="103"/>
      <c r="CZ34" s="103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3"/>
      <c r="DL34" s="103"/>
      <c r="DM34" s="103"/>
      <c r="DN34" s="103"/>
      <c r="DO34" s="103"/>
      <c r="DP34" s="103"/>
      <c r="DQ34" s="103"/>
      <c r="DR34" s="103"/>
      <c r="DS34" s="103"/>
      <c r="DT34" s="103"/>
      <c r="DU34" s="103"/>
      <c r="DV34" s="103"/>
      <c r="DW34" s="103"/>
      <c r="DX34" s="103"/>
      <c r="DY34" s="103"/>
    </row>
    <row r="35" spans="1:129" s="90" customFormat="1" ht="12.75">
      <c r="A35" s="91"/>
      <c r="B35" s="128"/>
      <c r="C35" s="129"/>
      <c r="D35" s="130"/>
      <c r="E35" s="130"/>
      <c r="F35" s="131"/>
      <c r="G35" s="132"/>
      <c r="H35" s="133">
        <f t="shared" si="2"/>
        <v>0</v>
      </c>
      <c r="I35" s="133">
        <f t="shared" si="3"/>
        <v>0</v>
      </c>
      <c r="J35" s="91"/>
      <c r="K35" s="97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3"/>
      <c r="BW35" s="103"/>
      <c r="BX35" s="103"/>
      <c r="BY35" s="103"/>
      <c r="BZ35" s="103"/>
      <c r="CA35" s="103"/>
      <c r="CB35" s="103"/>
      <c r="CC35" s="103"/>
      <c r="CD35" s="103"/>
      <c r="CE35" s="103"/>
      <c r="CF35" s="103"/>
      <c r="CG35" s="103"/>
      <c r="CH35" s="103"/>
      <c r="CI35" s="103"/>
      <c r="CJ35" s="103"/>
      <c r="CK35" s="103"/>
      <c r="CL35" s="103"/>
      <c r="CM35" s="103"/>
      <c r="CN35" s="103"/>
      <c r="CO35" s="103"/>
      <c r="CP35" s="103"/>
      <c r="CQ35" s="103"/>
      <c r="CR35" s="103"/>
      <c r="CS35" s="103"/>
      <c r="CT35" s="103"/>
      <c r="CU35" s="103"/>
      <c r="CV35" s="103"/>
      <c r="CW35" s="103"/>
      <c r="CX35" s="103"/>
      <c r="CY35" s="103"/>
      <c r="CZ35" s="103"/>
      <c r="DA35" s="103"/>
      <c r="DB35" s="103"/>
      <c r="DC35" s="103"/>
      <c r="DD35" s="103"/>
      <c r="DE35" s="103"/>
      <c r="DF35" s="103"/>
      <c r="DG35" s="103"/>
      <c r="DH35" s="103"/>
      <c r="DI35" s="103"/>
      <c r="DJ35" s="103"/>
      <c r="DK35" s="103"/>
      <c r="DL35" s="103"/>
      <c r="DM35" s="103"/>
      <c r="DN35" s="103"/>
      <c r="DO35" s="103"/>
      <c r="DP35" s="103"/>
      <c r="DQ35" s="103"/>
      <c r="DR35" s="103"/>
      <c r="DS35" s="103"/>
      <c r="DT35" s="103"/>
      <c r="DU35" s="103"/>
      <c r="DV35" s="103"/>
      <c r="DW35" s="103"/>
      <c r="DX35" s="103"/>
      <c r="DY35" s="103"/>
    </row>
    <row r="36" spans="1:129" s="90" customFormat="1" ht="12.75">
      <c r="A36" s="91"/>
      <c r="B36" s="128"/>
      <c r="C36" s="129"/>
      <c r="D36" s="130"/>
      <c r="E36" s="130"/>
      <c r="F36" s="131"/>
      <c r="G36" s="132"/>
      <c r="H36" s="133">
        <f t="shared" si="2"/>
        <v>0</v>
      </c>
      <c r="I36" s="133">
        <f t="shared" si="3"/>
        <v>0</v>
      </c>
      <c r="J36" s="91"/>
      <c r="K36" s="97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  <c r="CH36" s="103"/>
      <c r="CI36" s="103"/>
      <c r="CJ36" s="103"/>
      <c r="CK36" s="103"/>
      <c r="CL36" s="103"/>
      <c r="CM36" s="103"/>
      <c r="CN36" s="103"/>
      <c r="CO36" s="103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3"/>
      <c r="DA36" s="103"/>
      <c r="DB36" s="103"/>
      <c r="DC36" s="103"/>
      <c r="DD36" s="103"/>
      <c r="DE36" s="103"/>
      <c r="DF36" s="103"/>
      <c r="DG36" s="103"/>
      <c r="DH36" s="103"/>
      <c r="DI36" s="103"/>
      <c r="DJ36" s="103"/>
      <c r="DK36" s="103"/>
      <c r="DL36" s="103"/>
      <c r="DM36" s="103"/>
      <c r="DN36" s="103"/>
      <c r="DO36" s="103"/>
      <c r="DP36" s="103"/>
      <c r="DQ36" s="103"/>
      <c r="DR36" s="103"/>
      <c r="DS36" s="103"/>
      <c r="DT36" s="103"/>
      <c r="DU36" s="103"/>
      <c r="DV36" s="103"/>
      <c r="DW36" s="103"/>
      <c r="DX36" s="103"/>
      <c r="DY36" s="103"/>
    </row>
    <row r="37" spans="1:129" s="90" customFormat="1" ht="12.75">
      <c r="A37" s="91"/>
      <c r="B37" s="128"/>
      <c r="C37" s="129"/>
      <c r="D37" s="130"/>
      <c r="E37" s="130"/>
      <c r="F37" s="131"/>
      <c r="G37" s="132"/>
      <c r="H37" s="133">
        <f t="shared" si="2"/>
        <v>0</v>
      </c>
      <c r="I37" s="133">
        <f t="shared" si="3"/>
        <v>0</v>
      </c>
      <c r="J37" s="91"/>
      <c r="K37" s="97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103"/>
      <c r="BY37" s="103"/>
      <c r="BZ37" s="103"/>
      <c r="CA37" s="103"/>
      <c r="CB37" s="103"/>
      <c r="CC37" s="103"/>
      <c r="CD37" s="103"/>
      <c r="CE37" s="103"/>
      <c r="CF37" s="103"/>
      <c r="CG37" s="103"/>
      <c r="CH37" s="103"/>
      <c r="CI37" s="103"/>
      <c r="CJ37" s="103"/>
      <c r="CK37" s="103"/>
      <c r="CL37" s="103"/>
      <c r="CM37" s="103"/>
      <c r="CN37" s="103"/>
      <c r="CO37" s="103"/>
      <c r="CP37" s="103"/>
      <c r="CQ37" s="103"/>
      <c r="CR37" s="103"/>
      <c r="CS37" s="103"/>
      <c r="CT37" s="103"/>
      <c r="CU37" s="103"/>
      <c r="CV37" s="103"/>
      <c r="CW37" s="103"/>
      <c r="CX37" s="103"/>
      <c r="CY37" s="103"/>
      <c r="CZ37" s="103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3"/>
      <c r="DL37" s="103"/>
      <c r="DM37" s="103"/>
      <c r="DN37" s="103"/>
      <c r="DO37" s="103"/>
      <c r="DP37" s="103"/>
      <c r="DQ37" s="103"/>
      <c r="DR37" s="103"/>
      <c r="DS37" s="103"/>
      <c r="DT37" s="103"/>
      <c r="DU37" s="103"/>
      <c r="DV37" s="103"/>
      <c r="DW37" s="103"/>
      <c r="DX37" s="103"/>
      <c r="DY37" s="103"/>
    </row>
    <row r="38" spans="1:129" s="90" customFormat="1" ht="12.75">
      <c r="A38" s="91"/>
      <c r="B38" s="128"/>
      <c r="C38" s="129"/>
      <c r="D38" s="130"/>
      <c r="E38" s="130"/>
      <c r="F38" s="131"/>
      <c r="G38" s="132"/>
      <c r="H38" s="133">
        <f t="shared" si="2"/>
        <v>0</v>
      </c>
      <c r="I38" s="133">
        <f t="shared" si="3"/>
        <v>0</v>
      </c>
      <c r="J38" s="91"/>
      <c r="K38" s="97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3"/>
      <c r="DO38" s="103"/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</row>
    <row r="39" spans="1:129" s="90" customFormat="1" ht="12.75">
      <c r="A39" s="91"/>
      <c r="B39" s="128"/>
      <c r="C39" s="129"/>
      <c r="D39" s="130"/>
      <c r="E39" s="130"/>
      <c r="F39" s="131"/>
      <c r="G39" s="132"/>
      <c r="H39" s="133">
        <f t="shared" si="2"/>
        <v>0</v>
      </c>
      <c r="I39" s="133">
        <f t="shared" si="3"/>
        <v>0</v>
      </c>
      <c r="J39" s="91"/>
      <c r="K39" s="97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3"/>
      <c r="CB39" s="103"/>
      <c r="CC39" s="103"/>
      <c r="CD39" s="103"/>
      <c r="CE39" s="103"/>
      <c r="CF39" s="103"/>
      <c r="CG39" s="103"/>
      <c r="CH39" s="103"/>
      <c r="CI39" s="103"/>
      <c r="CJ39" s="103"/>
      <c r="CK39" s="103"/>
      <c r="CL39" s="103"/>
      <c r="CM39" s="103"/>
      <c r="CN39" s="103"/>
      <c r="CO39" s="103"/>
      <c r="CP39" s="103"/>
      <c r="CQ39" s="103"/>
      <c r="CR39" s="103"/>
      <c r="CS39" s="103"/>
      <c r="CT39" s="103"/>
      <c r="CU39" s="103"/>
      <c r="CV39" s="103"/>
      <c r="CW39" s="103"/>
      <c r="CX39" s="103"/>
      <c r="CY39" s="103"/>
      <c r="CZ39" s="103"/>
      <c r="DA39" s="103"/>
      <c r="DB39" s="103"/>
      <c r="DC39" s="103"/>
      <c r="DD39" s="103"/>
      <c r="DE39" s="103"/>
      <c r="DF39" s="103"/>
      <c r="DG39" s="103"/>
      <c r="DH39" s="103"/>
      <c r="DI39" s="103"/>
      <c r="DJ39" s="103"/>
      <c r="DK39" s="103"/>
      <c r="DL39" s="103"/>
      <c r="DM39" s="103"/>
      <c r="DN39" s="103"/>
      <c r="DO39" s="103"/>
      <c r="DP39" s="103"/>
      <c r="DQ39" s="103"/>
      <c r="DR39" s="103"/>
      <c r="DS39" s="103"/>
      <c r="DT39" s="103"/>
      <c r="DU39" s="103"/>
      <c r="DV39" s="103"/>
      <c r="DW39" s="103"/>
      <c r="DX39" s="103"/>
      <c r="DY39" s="103"/>
    </row>
    <row r="40" spans="1:129" s="90" customFormat="1" ht="12.75">
      <c r="A40" s="91"/>
      <c r="B40" s="128"/>
      <c r="C40" s="129"/>
      <c r="D40" s="130"/>
      <c r="E40" s="130"/>
      <c r="F40" s="131"/>
      <c r="G40" s="132"/>
      <c r="H40" s="133">
        <f t="shared" si="2"/>
        <v>0</v>
      </c>
      <c r="I40" s="133">
        <f t="shared" si="3"/>
        <v>0</v>
      </c>
      <c r="J40" s="91"/>
      <c r="K40" s="97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3"/>
      <c r="DA40" s="103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3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</row>
    <row r="41" spans="1:129" s="90" customFormat="1" ht="12.75">
      <c r="A41" s="91"/>
      <c r="B41" s="128"/>
      <c r="C41" s="129"/>
      <c r="D41" s="130"/>
      <c r="E41" s="130"/>
      <c r="F41" s="131"/>
      <c r="G41" s="132"/>
      <c r="H41" s="133">
        <f t="shared" si="2"/>
        <v>0</v>
      </c>
      <c r="I41" s="133">
        <f t="shared" si="3"/>
        <v>0</v>
      </c>
      <c r="J41" s="91"/>
      <c r="K41" s="97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</row>
    <row r="42" spans="1:129" s="90" customFormat="1" ht="12.75">
      <c r="A42" s="91"/>
      <c r="B42" s="128"/>
      <c r="C42" s="129"/>
      <c r="D42" s="130"/>
      <c r="E42" s="130"/>
      <c r="F42" s="131"/>
      <c r="G42" s="132"/>
      <c r="H42" s="133">
        <f t="shared" si="2"/>
        <v>0</v>
      </c>
      <c r="I42" s="133">
        <f t="shared" si="3"/>
        <v>0</v>
      </c>
      <c r="J42" s="91"/>
      <c r="K42" s="97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3"/>
      <c r="DA42" s="103"/>
      <c r="DB42" s="103"/>
      <c r="DC42" s="103"/>
      <c r="DD42" s="103"/>
      <c r="DE42" s="103"/>
      <c r="DF42" s="103"/>
      <c r="DG42" s="103"/>
      <c r="DH42" s="103"/>
      <c r="DI42" s="103"/>
      <c r="DJ42" s="103"/>
      <c r="DK42" s="103"/>
      <c r="DL42" s="103"/>
      <c r="DM42" s="103"/>
      <c r="DN42" s="103"/>
      <c r="DO42" s="103"/>
      <c r="DP42" s="103"/>
      <c r="DQ42" s="103"/>
      <c r="DR42" s="103"/>
      <c r="DS42" s="103"/>
      <c r="DT42" s="103"/>
      <c r="DU42" s="103"/>
      <c r="DV42" s="103"/>
      <c r="DW42" s="103"/>
      <c r="DX42" s="103"/>
      <c r="DY42" s="103"/>
    </row>
    <row r="43" spans="1:129" s="90" customFormat="1" ht="12.75">
      <c r="A43" s="91"/>
      <c r="B43" s="128"/>
      <c r="C43" s="129"/>
      <c r="D43" s="130"/>
      <c r="E43" s="130"/>
      <c r="F43" s="131"/>
      <c r="G43" s="132"/>
      <c r="H43" s="133">
        <f t="shared" si="2"/>
        <v>0</v>
      </c>
      <c r="I43" s="133">
        <f t="shared" si="3"/>
        <v>0</v>
      </c>
      <c r="J43" s="91"/>
      <c r="K43" s="97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  <c r="CH43" s="103"/>
      <c r="CI43" s="103"/>
      <c r="CJ43" s="103"/>
      <c r="CK43" s="103"/>
      <c r="CL43" s="103"/>
      <c r="CM43" s="103"/>
      <c r="CN43" s="103"/>
      <c r="CO43" s="103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3"/>
      <c r="DA43" s="103"/>
      <c r="DB43" s="103"/>
      <c r="DC43" s="103"/>
      <c r="DD43" s="103"/>
      <c r="DE43" s="103"/>
      <c r="DF43" s="103"/>
      <c r="DG43" s="103"/>
      <c r="DH43" s="103"/>
      <c r="DI43" s="103"/>
      <c r="DJ43" s="103"/>
      <c r="DK43" s="103"/>
      <c r="DL43" s="103"/>
      <c r="DM43" s="103"/>
      <c r="DN43" s="103"/>
      <c r="DO43" s="103"/>
      <c r="DP43" s="103"/>
      <c r="DQ43" s="103"/>
      <c r="DR43" s="103"/>
      <c r="DS43" s="103"/>
      <c r="DT43" s="103"/>
      <c r="DU43" s="103"/>
      <c r="DV43" s="103"/>
      <c r="DW43" s="103"/>
      <c r="DX43" s="103"/>
      <c r="DY43" s="103"/>
    </row>
    <row r="44" spans="1:129" s="90" customFormat="1" ht="12.75">
      <c r="A44" s="91"/>
      <c r="B44" s="128"/>
      <c r="C44" s="129"/>
      <c r="D44" s="130"/>
      <c r="E44" s="130"/>
      <c r="F44" s="131"/>
      <c r="G44" s="132"/>
      <c r="H44" s="133">
        <f t="shared" si="2"/>
        <v>0</v>
      </c>
      <c r="I44" s="133">
        <f t="shared" si="3"/>
        <v>0</v>
      </c>
      <c r="J44" s="91"/>
      <c r="K44" s="97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3"/>
      <c r="CF44" s="103"/>
      <c r="CG44" s="103"/>
      <c r="CH44" s="103"/>
      <c r="CI44" s="103"/>
      <c r="CJ44" s="103"/>
      <c r="CK44" s="103"/>
      <c r="CL44" s="103"/>
      <c r="CM44" s="103"/>
      <c r="CN44" s="103"/>
      <c r="CO44" s="103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3"/>
      <c r="DN44" s="103"/>
      <c r="DO44" s="103"/>
      <c r="DP44" s="103"/>
      <c r="DQ44" s="103"/>
      <c r="DR44" s="103"/>
      <c r="DS44" s="103"/>
      <c r="DT44" s="103"/>
      <c r="DU44" s="103"/>
      <c r="DV44" s="103"/>
      <c r="DW44" s="103"/>
      <c r="DX44" s="103"/>
      <c r="DY44" s="103"/>
    </row>
    <row r="45" spans="1:129" s="90" customFormat="1" ht="12.75">
      <c r="A45" s="91"/>
      <c r="B45" s="128"/>
      <c r="C45" s="129"/>
      <c r="D45" s="130"/>
      <c r="E45" s="130"/>
      <c r="F45" s="131"/>
      <c r="G45" s="132"/>
      <c r="H45" s="133">
        <f t="shared" si="2"/>
        <v>0</v>
      </c>
      <c r="I45" s="133">
        <f t="shared" si="3"/>
        <v>0</v>
      </c>
      <c r="J45" s="91"/>
      <c r="K45" s="97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03"/>
      <c r="BY45" s="103"/>
      <c r="BZ45" s="103"/>
      <c r="CA45" s="103"/>
      <c r="CB45" s="103"/>
      <c r="CC45" s="103"/>
      <c r="CD45" s="103"/>
      <c r="CE45" s="103"/>
      <c r="CF45" s="103"/>
      <c r="CG45" s="103"/>
      <c r="CH45" s="103"/>
      <c r="CI45" s="103"/>
      <c r="CJ45" s="103"/>
      <c r="CK45" s="103"/>
      <c r="CL45" s="103"/>
      <c r="CM45" s="103"/>
      <c r="CN45" s="103"/>
      <c r="CO45" s="103"/>
      <c r="CP45" s="103"/>
      <c r="CQ45" s="103"/>
      <c r="CR45" s="103"/>
      <c r="CS45" s="103"/>
      <c r="CT45" s="103"/>
      <c r="CU45" s="103"/>
      <c r="CV45" s="103"/>
      <c r="CW45" s="103"/>
      <c r="CX45" s="103"/>
      <c r="CY45" s="103"/>
      <c r="CZ45" s="103"/>
      <c r="DA45" s="103"/>
      <c r="DB45" s="103"/>
      <c r="DC45" s="103"/>
      <c r="DD45" s="103"/>
      <c r="DE45" s="103"/>
      <c r="DF45" s="103"/>
      <c r="DG45" s="103"/>
      <c r="DH45" s="103"/>
      <c r="DI45" s="103"/>
      <c r="DJ45" s="103"/>
      <c r="DK45" s="103"/>
      <c r="DL45" s="103"/>
      <c r="DM45" s="103"/>
      <c r="DN45" s="103"/>
      <c r="DO45" s="103"/>
      <c r="DP45" s="103"/>
      <c r="DQ45" s="103"/>
      <c r="DR45" s="103"/>
      <c r="DS45" s="103"/>
      <c r="DT45" s="103"/>
      <c r="DU45" s="103"/>
      <c r="DV45" s="103"/>
      <c r="DW45" s="103"/>
      <c r="DX45" s="103"/>
      <c r="DY45" s="103"/>
    </row>
    <row r="46" spans="1:129" s="90" customFormat="1" ht="12.75">
      <c r="A46" s="91"/>
      <c r="B46" s="128"/>
      <c r="C46" s="129"/>
      <c r="D46" s="130"/>
      <c r="E46" s="130"/>
      <c r="F46" s="131"/>
      <c r="G46" s="132"/>
      <c r="H46" s="133">
        <f t="shared" si="2"/>
        <v>0</v>
      </c>
      <c r="I46" s="133">
        <f t="shared" si="3"/>
        <v>0</v>
      </c>
      <c r="J46" s="91"/>
      <c r="K46" s="97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03"/>
      <c r="BY46" s="103"/>
      <c r="BZ46" s="103"/>
      <c r="CA46" s="103"/>
      <c r="CB46" s="103"/>
      <c r="CC46" s="103"/>
      <c r="CD46" s="103"/>
      <c r="CE46" s="103"/>
      <c r="CF46" s="103"/>
      <c r="CG46" s="103"/>
      <c r="CH46" s="103"/>
      <c r="CI46" s="103"/>
      <c r="CJ46" s="103"/>
      <c r="CK46" s="103"/>
      <c r="CL46" s="103"/>
      <c r="CM46" s="103"/>
      <c r="CN46" s="103"/>
      <c r="CO46" s="103"/>
      <c r="CP46" s="103"/>
      <c r="CQ46" s="103"/>
      <c r="CR46" s="103"/>
      <c r="CS46" s="103"/>
      <c r="CT46" s="103"/>
      <c r="CU46" s="103"/>
      <c r="CV46" s="103"/>
      <c r="CW46" s="103"/>
      <c r="CX46" s="103"/>
      <c r="CY46" s="103"/>
      <c r="CZ46" s="103"/>
      <c r="DA46" s="103"/>
      <c r="DB46" s="103"/>
      <c r="DC46" s="103"/>
      <c r="DD46" s="103"/>
      <c r="DE46" s="103"/>
      <c r="DF46" s="103"/>
      <c r="DG46" s="103"/>
      <c r="DH46" s="103"/>
      <c r="DI46" s="103"/>
      <c r="DJ46" s="103"/>
      <c r="DK46" s="103"/>
      <c r="DL46" s="103"/>
      <c r="DM46" s="103"/>
      <c r="DN46" s="103"/>
      <c r="DO46" s="103"/>
      <c r="DP46" s="103"/>
      <c r="DQ46" s="103"/>
      <c r="DR46" s="103"/>
      <c r="DS46" s="103"/>
      <c r="DT46" s="103"/>
      <c r="DU46" s="103"/>
      <c r="DV46" s="103"/>
      <c r="DW46" s="103"/>
      <c r="DX46" s="103"/>
      <c r="DY46" s="103"/>
    </row>
    <row r="47" spans="1:129" s="90" customFormat="1" ht="12.75">
      <c r="A47" s="91"/>
      <c r="B47" s="128"/>
      <c r="C47" s="129"/>
      <c r="D47" s="130"/>
      <c r="E47" s="130"/>
      <c r="F47" s="131"/>
      <c r="G47" s="132"/>
      <c r="H47" s="133">
        <f t="shared" si="0"/>
        <v>0</v>
      </c>
      <c r="I47" s="133">
        <f t="shared" si="1"/>
        <v>0</v>
      </c>
      <c r="J47" s="91"/>
      <c r="K47" s="97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3"/>
      <c r="BW47" s="103"/>
      <c r="BX47" s="103"/>
      <c r="BY47" s="103"/>
      <c r="BZ47" s="103"/>
      <c r="CA47" s="103"/>
      <c r="CB47" s="103"/>
      <c r="CC47" s="103"/>
      <c r="CD47" s="103"/>
      <c r="CE47" s="103"/>
      <c r="CF47" s="103"/>
      <c r="CG47" s="103"/>
      <c r="CH47" s="103"/>
      <c r="CI47" s="103"/>
      <c r="CJ47" s="103"/>
      <c r="CK47" s="103"/>
      <c r="CL47" s="103"/>
      <c r="CM47" s="103"/>
      <c r="CN47" s="103"/>
      <c r="CO47" s="103"/>
      <c r="CP47" s="103"/>
      <c r="CQ47" s="103"/>
      <c r="CR47" s="103"/>
      <c r="CS47" s="103"/>
      <c r="CT47" s="103"/>
      <c r="CU47" s="103"/>
      <c r="CV47" s="103"/>
      <c r="CW47" s="103"/>
      <c r="CX47" s="103"/>
      <c r="CY47" s="103"/>
      <c r="CZ47" s="103"/>
      <c r="DA47" s="103"/>
      <c r="DB47" s="103"/>
      <c r="DC47" s="103"/>
      <c r="DD47" s="103"/>
      <c r="DE47" s="103"/>
      <c r="DF47" s="103"/>
      <c r="DG47" s="103"/>
      <c r="DH47" s="103"/>
      <c r="DI47" s="103"/>
      <c r="DJ47" s="103"/>
      <c r="DK47" s="103"/>
      <c r="DL47" s="103"/>
      <c r="DM47" s="103"/>
      <c r="DN47" s="103"/>
      <c r="DO47" s="103"/>
      <c r="DP47" s="103"/>
      <c r="DQ47" s="103"/>
      <c r="DR47" s="103"/>
      <c r="DS47" s="103"/>
      <c r="DT47" s="103"/>
      <c r="DU47" s="103"/>
      <c r="DV47" s="103"/>
      <c r="DW47" s="103"/>
      <c r="DX47" s="103"/>
      <c r="DY47" s="103"/>
    </row>
    <row r="48" spans="1:129" s="90" customFormat="1" ht="12.75">
      <c r="A48" s="91"/>
      <c r="B48" s="128"/>
      <c r="C48" s="129"/>
      <c r="D48" s="130"/>
      <c r="E48" s="130"/>
      <c r="F48" s="131"/>
      <c r="G48" s="132"/>
      <c r="H48" s="133">
        <f t="shared" si="0"/>
        <v>0</v>
      </c>
      <c r="I48" s="133">
        <f t="shared" si="1"/>
        <v>0</v>
      </c>
      <c r="J48" s="91"/>
      <c r="K48" s="97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3"/>
      <c r="CF48" s="103"/>
      <c r="CG48" s="103"/>
      <c r="CH48" s="103"/>
      <c r="CI48" s="103"/>
      <c r="CJ48" s="103"/>
      <c r="CK48" s="103"/>
      <c r="CL48" s="103"/>
      <c r="CM48" s="103"/>
      <c r="CN48" s="103"/>
      <c r="CO48" s="103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3"/>
      <c r="DA48" s="103"/>
      <c r="DB48" s="103"/>
      <c r="DC48" s="103"/>
      <c r="DD48" s="103"/>
      <c r="DE48" s="103"/>
      <c r="DF48" s="103"/>
      <c r="DG48" s="103"/>
      <c r="DH48" s="103"/>
      <c r="DI48" s="103"/>
      <c r="DJ48" s="103"/>
      <c r="DK48" s="103"/>
      <c r="DL48" s="103"/>
      <c r="DM48" s="103"/>
      <c r="DN48" s="103"/>
      <c r="DO48" s="103"/>
      <c r="DP48" s="103"/>
      <c r="DQ48" s="103"/>
      <c r="DR48" s="103"/>
      <c r="DS48" s="103"/>
      <c r="DT48" s="103"/>
      <c r="DU48" s="103"/>
      <c r="DV48" s="103"/>
      <c r="DW48" s="103"/>
      <c r="DX48" s="103"/>
      <c r="DY48" s="103"/>
    </row>
    <row r="49" spans="1:129" s="90" customFormat="1" ht="12.75">
      <c r="A49" s="91"/>
      <c r="B49" s="128"/>
      <c r="C49" s="129"/>
      <c r="D49" s="130"/>
      <c r="E49" s="130"/>
      <c r="F49" s="131"/>
      <c r="G49" s="132"/>
      <c r="H49" s="133">
        <f t="shared" si="0"/>
        <v>0</v>
      </c>
      <c r="I49" s="133">
        <f t="shared" si="1"/>
        <v>0</v>
      </c>
      <c r="J49" s="91"/>
      <c r="K49" s="97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3"/>
      <c r="BT49" s="103"/>
      <c r="BU49" s="103"/>
      <c r="BV49" s="103"/>
      <c r="BW49" s="103"/>
      <c r="BX49" s="103"/>
      <c r="BY49" s="103"/>
      <c r="BZ49" s="103"/>
      <c r="CA49" s="103"/>
      <c r="CB49" s="103"/>
      <c r="CC49" s="103"/>
      <c r="CD49" s="103"/>
      <c r="CE49" s="103"/>
      <c r="CF49" s="103"/>
      <c r="CG49" s="103"/>
      <c r="CH49" s="103"/>
      <c r="CI49" s="103"/>
      <c r="CJ49" s="103"/>
      <c r="CK49" s="103"/>
      <c r="CL49" s="103"/>
      <c r="CM49" s="103"/>
      <c r="CN49" s="103"/>
      <c r="CO49" s="103"/>
      <c r="CP49" s="103"/>
      <c r="CQ49" s="103"/>
      <c r="CR49" s="103"/>
      <c r="CS49" s="103"/>
      <c r="CT49" s="103"/>
      <c r="CU49" s="103"/>
      <c r="CV49" s="103"/>
      <c r="CW49" s="103"/>
      <c r="CX49" s="103"/>
      <c r="CY49" s="103"/>
      <c r="CZ49" s="103"/>
      <c r="DA49" s="103"/>
      <c r="DB49" s="103"/>
      <c r="DC49" s="103"/>
      <c r="DD49" s="103"/>
      <c r="DE49" s="103"/>
      <c r="DF49" s="103"/>
      <c r="DG49" s="103"/>
      <c r="DH49" s="103"/>
      <c r="DI49" s="103"/>
      <c r="DJ49" s="103"/>
      <c r="DK49" s="103"/>
      <c r="DL49" s="103"/>
      <c r="DM49" s="103"/>
      <c r="DN49" s="103"/>
      <c r="DO49" s="103"/>
      <c r="DP49" s="103"/>
      <c r="DQ49" s="103"/>
      <c r="DR49" s="103"/>
      <c r="DS49" s="103"/>
      <c r="DT49" s="103"/>
      <c r="DU49" s="103"/>
      <c r="DV49" s="103"/>
      <c r="DW49" s="103"/>
      <c r="DX49" s="103"/>
      <c r="DY49" s="103"/>
    </row>
    <row r="50" spans="1:129" s="90" customFormat="1" ht="13.5" customHeight="1" thickBot="1">
      <c r="A50" s="91"/>
      <c r="B50" s="307" t="s">
        <v>12</v>
      </c>
      <c r="C50" s="308"/>
      <c r="D50" s="308"/>
      <c r="E50" s="308"/>
      <c r="F50" s="127">
        <f>SUM(F12:F49)</f>
        <v>1669.3100000000002</v>
      </c>
      <c r="G50" s="127">
        <f>SUM(G12:G49)</f>
        <v>2.36</v>
      </c>
      <c r="H50" s="127">
        <f>SUM(H12:H49)</f>
        <v>274.48810000000003</v>
      </c>
      <c r="I50" s="127">
        <f>SUM(I12:I49)</f>
        <v>1943.7981</v>
      </c>
      <c r="J50" s="91"/>
      <c r="K50" s="97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103"/>
      <c r="BR50" s="103"/>
      <c r="BS50" s="103"/>
      <c r="BT50" s="103"/>
      <c r="BU50" s="103"/>
      <c r="BV50" s="103"/>
      <c r="BW50" s="103"/>
      <c r="BX50" s="103"/>
      <c r="BY50" s="103"/>
      <c r="BZ50" s="103"/>
      <c r="CA50" s="103"/>
      <c r="CB50" s="103"/>
      <c r="CC50" s="103"/>
      <c r="CD50" s="103"/>
      <c r="CE50" s="103"/>
      <c r="CF50" s="103"/>
      <c r="CG50" s="103"/>
      <c r="CH50" s="103"/>
      <c r="CI50" s="103"/>
      <c r="CJ50" s="103"/>
      <c r="CK50" s="103"/>
      <c r="CL50" s="103"/>
      <c r="CM50" s="103"/>
      <c r="CN50" s="103"/>
      <c r="CO50" s="103"/>
      <c r="CP50" s="103"/>
      <c r="CQ50" s="103"/>
      <c r="CR50" s="103"/>
      <c r="CS50" s="103"/>
      <c r="CT50" s="103"/>
      <c r="CU50" s="103"/>
      <c r="CV50" s="103"/>
      <c r="CW50" s="103"/>
      <c r="CX50" s="103"/>
      <c r="CY50" s="103"/>
      <c r="CZ50" s="103"/>
      <c r="DA50" s="103"/>
      <c r="DB50" s="103"/>
      <c r="DC50" s="103"/>
      <c r="DD50" s="103"/>
      <c r="DE50" s="103"/>
      <c r="DF50" s="103"/>
      <c r="DG50" s="103"/>
      <c r="DH50" s="103"/>
      <c r="DI50" s="103"/>
      <c r="DJ50" s="103"/>
      <c r="DK50" s="103"/>
      <c r="DL50" s="103"/>
      <c r="DM50" s="103"/>
      <c r="DN50" s="103"/>
      <c r="DO50" s="103"/>
      <c r="DP50" s="103"/>
      <c r="DQ50" s="103"/>
      <c r="DR50" s="103"/>
      <c r="DS50" s="103"/>
      <c r="DT50" s="103"/>
      <c r="DU50" s="103"/>
      <c r="DV50" s="103"/>
      <c r="DW50" s="103"/>
      <c r="DX50" s="103"/>
      <c r="DY50" s="103"/>
    </row>
    <row r="51" spans="1:129" ht="15">
      <c r="B51" s="19"/>
      <c r="C51" s="52"/>
      <c r="D51" s="52"/>
      <c r="E51" s="52"/>
      <c r="F51" s="53"/>
      <c r="G51" s="26"/>
      <c r="H51" s="54"/>
      <c r="I51" s="54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</row>
    <row r="52" spans="1:129">
      <c r="C52" s="2"/>
      <c r="D52" s="2"/>
      <c r="E52" s="2"/>
      <c r="F52" s="3"/>
      <c r="G52" s="6"/>
      <c r="H52" s="7"/>
      <c r="I52" s="7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</row>
    <row r="53" spans="1:129">
      <c r="C53" s="2"/>
      <c r="D53" s="2"/>
      <c r="E53" s="2"/>
      <c r="F53" s="3"/>
      <c r="G53" s="6"/>
      <c r="H53" s="7"/>
      <c r="I53" s="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</row>
    <row r="54" spans="1:129">
      <c r="C54" s="2"/>
      <c r="D54" s="2"/>
      <c r="E54" s="2"/>
      <c r="F54" s="3"/>
      <c r="G54" s="6"/>
      <c r="H54" s="7"/>
      <c r="I54" s="7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</row>
    <row r="55" spans="1:129">
      <c r="C55" s="2"/>
      <c r="D55" s="2"/>
      <c r="E55" s="2"/>
      <c r="F55" s="3"/>
      <c r="G55" s="6"/>
      <c r="H55" s="7"/>
      <c r="I55" s="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</row>
    <row r="56" spans="1:129">
      <c r="C56" s="2"/>
      <c r="D56" s="2"/>
      <c r="E56" s="2"/>
      <c r="F56" s="3"/>
      <c r="G56" s="6"/>
      <c r="H56" s="7"/>
      <c r="I56" s="7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</row>
    <row r="57" spans="1:129">
      <c r="C57" s="2"/>
      <c r="D57" s="2"/>
      <c r="E57" s="2"/>
      <c r="F57" s="3"/>
      <c r="G57" s="6"/>
      <c r="H57" s="7"/>
      <c r="I57" s="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</row>
    <row r="58" spans="1:129">
      <c r="C58" s="2"/>
      <c r="D58" s="2"/>
      <c r="E58" s="2"/>
      <c r="F58" s="3"/>
      <c r="G58" s="6"/>
      <c r="H58" s="7"/>
      <c r="I58" s="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</row>
    <row r="59" spans="1:129">
      <c r="C59" s="2"/>
      <c r="D59" s="2"/>
      <c r="E59" s="2"/>
      <c r="F59" s="3"/>
      <c r="G59" s="6"/>
      <c r="H59" s="7"/>
      <c r="I59" s="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</row>
    <row r="60" spans="1:129">
      <c r="C60" s="2"/>
      <c r="D60" s="2"/>
      <c r="E60" s="2"/>
      <c r="F60" s="3"/>
      <c r="G60" s="6"/>
      <c r="H60" s="7"/>
      <c r="I60" s="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</row>
    <row r="61" spans="1:129">
      <c r="C61" s="2"/>
      <c r="D61" s="2"/>
      <c r="E61" s="2"/>
      <c r="F61" s="3"/>
      <c r="G61" s="6"/>
      <c r="H61" s="7"/>
      <c r="I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</row>
    <row r="62" spans="1:129">
      <c r="C62" s="2"/>
      <c r="D62" s="2"/>
      <c r="E62" s="2"/>
      <c r="F62" s="3"/>
      <c r="G62" s="6"/>
      <c r="H62" s="7"/>
      <c r="I62" s="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</row>
    <row r="63" spans="1:129">
      <c r="C63" s="2"/>
      <c r="D63" s="2"/>
      <c r="E63" s="2"/>
      <c r="F63" s="3"/>
      <c r="G63" s="6"/>
      <c r="H63" s="7"/>
      <c r="I63" s="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</row>
    <row r="64" spans="1:129">
      <c r="C64" s="2"/>
      <c r="D64" s="2"/>
      <c r="E64" s="2"/>
      <c r="F64" s="3"/>
      <c r="G64" s="6"/>
      <c r="H64" s="7"/>
      <c r="I64" s="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</row>
    <row r="65" spans="3:129">
      <c r="C65" s="2"/>
      <c r="D65" s="2"/>
      <c r="E65" s="2"/>
      <c r="F65" s="3"/>
      <c r="G65" s="6"/>
      <c r="H65" s="7"/>
      <c r="I65" s="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</row>
    <row r="66" spans="3:129">
      <c r="C66" s="2"/>
      <c r="D66" s="2"/>
      <c r="E66" s="2"/>
      <c r="F66" s="3"/>
      <c r="G66" s="6"/>
      <c r="H66" s="7"/>
      <c r="I66" s="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</row>
    <row r="67" spans="3:129">
      <c r="C67" s="2"/>
      <c r="D67" s="2"/>
      <c r="E67" s="2"/>
      <c r="F67" s="3"/>
      <c r="G67" s="6"/>
      <c r="H67" s="7"/>
      <c r="I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</row>
    <row r="68" spans="3:129">
      <c r="C68" s="2"/>
      <c r="D68" s="2"/>
      <c r="E68" s="2"/>
      <c r="F68" s="3"/>
      <c r="G68" s="6"/>
      <c r="H68" s="7"/>
      <c r="I68" s="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</row>
    <row r="69" spans="3:129">
      <c r="C69" s="2"/>
      <c r="D69" s="2"/>
      <c r="E69" s="2"/>
      <c r="F69" s="3"/>
      <c r="G69" s="6"/>
      <c r="H69" s="7"/>
      <c r="I69" s="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</row>
    <row r="70" spans="3:129">
      <c r="C70" s="2"/>
      <c r="D70" s="2"/>
      <c r="E70" s="2"/>
      <c r="F70" s="3"/>
      <c r="G70" s="6"/>
      <c r="H70" s="7"/>
      <c r="I70" s="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</row>
    <row r="71" spans="3:129">
      <c r="C71" s="2"/>
      <c r="D71" s="2"/>
      <c r="E71" s="2"/>
      <c r="F71" s="3"/>
      <c r="G71" s="6"/>
      <c r="H71" s="7"/>
      <c r="I71" s="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</row>
    <row r="74" spans="3:129">
      <c r="C74" s="2"/>
      <c r="D74" s="2"/>
      <c r="E74" s="2"/>
      <c r="F74" s="3"/>
      <c r="G74" s="6"/>
      <c r="H74" s="3"/>
      <c r="I74" s="3"/>
    </row>
    <row r="75" spans="3:129">
      <c r="C75" s="8"/>
      <c r="D75" s="8"/>
      <c r="E75" s="8"/>
      <c r="F75" s="8"/>
      <c r="G75" s="8"/>
      <c r="H75" s="8"/>
      <c r="I75" s="8"/>
    </row>
  </sheetData>
  <mergeCells count="3">
    <mergeCell ref="B6:I6"/>
    <mergeCell ref="B8:I8"/>
    <mergeCell ref="B50:E50"/>
  </mergeCells>
  <phoneticPr fontId="0" type="noConversion"/>
  <printOptions horizontalCentered="1" gridLinesSet="0"/>
  <pageMargins left="0.7" right="0.7" top="0.75" bottom="0.75" header="0.3" footer="0.3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C676-8C08-4262-B5E5-0F2829597BC4}">
  <sheetPr codeName="Sheet7">
    <tabColor theme="3" tint="-0.249977111117893"/>
  </sheetPr>
  <dimension ref="A1:N57"/>
  <sheetViews>
    <sheetView showGridLines="0" view="pageBreakPreview" topLeftCell="A3" zoomScale="90" zoomScaleNormal="100" zoomScaleSheetLayoutView="90" workbookViewId="0">
      <selection activeCell="B28" sqref="B28"/>
    </sheetView>
  </sheetViews>
  <sheetFormatPr baseColWidth="10" defaultColWidth="9.28515625" defaultRowHeight="14.25"/>
  <cols>
    <col min="1" max="1" width="2.7109375" style="14" customWidth="1"/>
    <col min="2" max="2" width="13.5703125" style="38" customWidth="1"/>
    <col min="3" max="3" width="18.28515625" style="38" bestFit="1" customWidth="1"/>
    <col min="4" max="4" width="16.5703125" style="49" customWidth="1"/>
    <col min="5" max="5" width="23.5703125" style="38" bestFit="1" customWidth="1"/>
    <col min="6" max="6" width="9.42578125" style="38" bestFit="1" customWidth="1"/>
    <col min="7" max="7" width="16.5703125" style="38" bestFit="1" customWidth="1"/>
    <col min="8" max="8" width="8.28515625" style="38" bestFit="1" customWidth="1"/>
    <col min="9" max="9" width="9.5703125" style="38" customWidth="1"/>
    <col min="10" max="10" width="18.28515625" style="19" bestFit="1" customWidth="1"/>
    <col min="11" max="11" width="12.7109375" style="39" bestFit="1" customWidth="1"/>
    <col min="12" max="12" width="11.42578125" style="38" customWidth="1"/>
    <col min="13" max="13" width="12.7109375" style="39" customWidth="1"/>
    <col min="14" max="14" width="2.7109375" style="14" customWidth="1"/>
    <col min="15" max="16384" width="9.28515625" style="38"/>
  </cols>
  <sheetData>
    <row r="1" spans="1:14" ht="15">
      <c r="A1" s="12"/>
      <c r="B1" s="117" t="str">
        <f>+Achats_LUX!B1</f>
        <v>Carla_________</v>
      </c>
      <c r="D1" s="11"/>
      <c r="M1" s="20" t="s">
        <v>42</v>
      </c>
      <c r="N1" s="12"/>
    </row>
    <row r="2" spans="1:14" ht="15">
      <c r="A2" s="12"/>
      <c r="B2" s="117" t="s">
        <v>46</v>
      </c>
      <c r="D2" s="11"/>
      <c r="N2" s="12"/>
    </row>
    <row r="3" spans="1:14" ht="15">
      <c r="A3" s="12"/>
      <c r="B3" s="117">
        <v>0</v>
      </c>
      <c r="C3" s="40"/>
      <c r="D3" s="11"/>
      <c r="E3" s="40"/>
      <c r="F3" s="40"/>
      <c r="G3" s="40"/>
      <c r="H3" s="40"/>
      <c r="I3" s="40"/>
      <c r="J3" s="22"/>
      <c r="N3" s="12"/>
    </row>
    <row r="4" spans="1:14" ht="15">
      <c r="A4" s="12"/>
      <c r="B4" s="117" t="s">
        <v>45</v>
      </c>
      <c r="C4" s="41"/>
      <c r="D4" s="19"/>
      <c r="E4" s="41"/>
      <c r="F4" s="41"/>
      <c r="G4" s="41"/>
      <c r="H4" s="41"/>
      <c r="I4" s="41"/>
      <c r="J4" s="31"/>
      <c r="N4" s="12"/>
    </row>
    <row r="5" spans="1:14" s="71" customFormat="1" ht="15.75">
      <c r="A5" s="66"/>
      <c r="C5" s="72"/>
      <c r="D5" s="70"/>
      <c r="E5" s="72"/>
      <c r="F5" s="72"/>
      <c r="G5" s="72"/>
      <c r="H5" s="72"/>
      <c r="I5" s="72"/>
      <c r="J5" s="73"/>
      <c r="K5" s="74"/>
      <c r="M5" s="74"/>
      <c r="N5" s="66"/>
    </row>
    <row r="6" spans="1:14" s="71" customFormat="1" ht="15.75">
      <c r="A6" s="66"/>
      <c r="B6" s="309" t="s">
        <v>48</v>
      </c>
      <c r="C6" s="309"/>
      <c r="D6" s="309"/>
      <c r="E6" s="310"/>
      <c r="F6" s="310"/>
      <c r="G6" s="310"/>
      <c r="H6" s="310"/>
      <c r="I6" s="310"/>
      <c r="J6" s="310"/>
      <c r="K6" s="310"/>
      <c r="L6" s="311"/>
      <c r="M6" s="311"/>
      <c r="N6" s="66"/>
    </row>
    <row r="7" spans="1:14" s="71" customFormat="1" ht="15">
      <c r="A7" s="66"/>
      <c r="D7" s="70"/>
      <c r="J7" s="70"/>
      <c r="K7" s="74"/>
      <c r="M7" s="74"/>
      <c r="N7" s="66"/>
    </row>
    <row r="8" spans="1:14" s="71" customFormat="1" ht="15.75">
      <c r="A8" s="66"/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66"/>
    </row>
    <row r="9" spans="1:14" ht="15.75">
      <c r="A9" s="12"/>
      <c r="C9" s="42"/>
      <c r="D9" s="70"/>
      <c r="E9" s="42"/>
      <c r="F9" s="42"/>
      <c r="G9" s="42"/>
      <c r="H9" s="42"/>
      <c r="I9" s="42"/>
      <c r="J9" s="33"/>
      <c r="N9" s="12"/>
    </row>
    <row r="10" spans="1:14" ht="15">
      <c r="A10" s="37"/>
      <c r="C10" s="42"/>
      <c r="D10" s="19"/>
      <c r="E10" s="42"/>
      <c r="F10" s="42"/>
      <c r="G10" s="42"/>
      <c r="H10" s="42"/>
      <c r="I10" s="42"/>
      <c r="J10" s="33"/>
      <c r="N10" s="37"/>
    </row>
    <row r="11" spans="1:14" s="43" customFormat="1" ht="40.15" customHeight="1">
      <c r="A11" s="14"/>
      <c r="B11" s="152" t="s">
        <v>0</v>
      </c>
      <c r="C11" s="153" t="s">
        <v>23</v>
      </c>
      <c r="D11" s="154" t="s">
        <v>6</v>
      </c>
      <c r="E11" s="155" t="s">
        <v>17</v>
      </c>
      <c r="F11" s="155" t="s">
        <v>2</v>
      </c>
      <c r="G11" s="155" t="s">
        <v>8</v>
      </c>
      <c r="H11" s="156" t="s">
        <v>1</v>
      </c>
      <c r="I11" s="156" t="s">
        <v>5</v>
      </c>
      <c r="J11" s="157" t="s">
        <v>13</v>
      </c>
      <c r="K11" s="156" t="s">
        <v>9</v>
      </c>
      <c r="L11" s="158" t="s">
        <v>14</v>
      </c>
      <c r="M11" s="156" t="s">
        <v>15</v>
      </c>
      <c r="N11" s="14"/>
    </row>
    <row r="12" spans="1:14" s="91" customFormat="1" ht="12.75">
      <c r="A12" s="102"/>
      <c r="B12" s="146"/>
      <c r="C12" s="159"/>
      <c r="D12" s="160"/>
      <c r="E12" s="160"/>
      <c r="F12" s="160"/>
      <c r="G12" s="161"/>
      <c r="H12" s="162"/>
      <c r="I12" s="163"/>
      <c r="J12" s="163"/>
      <c r="K12" s="164"/>
      <c r="L12" s="164"/>
      <c r="M12" s="165"/>
    </row>
    <row r="13" spans="1:14" s="105" customFormat="1" ht="12.75">
      <c r="A13" s="102"/>
      <c r="B13" s="146">
        <v>45730</v>
      </c>
      <c r="C13" s="147" t="s">
        <v>93</v>
      </c>
      <c r="D13" s="147">
        <v>700012591</v>
      </c>
      <c r="E13" s="147" t="s">
        <v>96</v>
      </c>
      <c r="F13" s="147" t="s">
        <v>95</v>
      </c>
      <c r="G13" s="150">
        <v>321.42</v>
      </c>
      <c r="H13" s="148" t="s">
        <v>39</v>
      </c>
      <c r="I13" s="151">
        <v>0</v>
      </c>
      <c r="J13" s="139">
        <f t="shared" ref="J13:J47" si="0">G13</f>
        <v>321.42</v>
      </c>
      <c r="K13" s="149">
        <v>0</v>
      </c>
      <c r="L13" s="148">
        <v>0</v>
      </c>
      <c r="M13" s="148">
        <f t="shared" ref="M13:M47" si="1">SUM(J13+L13)</f>
        <v>321.42</v>
      </c>
      <c r="N13" s="102"/>
    </row>
    <row r="14" spans="1:14" s="105" customFormat="1" ht="12.75">
      <c r="A14" s="102"/>
      <c r="B14" s="146">
        <v>45720</v>
      </c>
      <c r="C14" s="147" t="s">
        <v>93</v>
      </c>
      <c r="D14" s="147">
        <v>700011600</v>
      </c>
      <c r="E14" s="147" t="s">
        <v>94</v>
      </c>
      <c r="F14" s="147" t="s">
        <v>95</v>
      </c>
      <c r="G14" s="150">
        <v>6190.83</v>
      </c>
      <c r="H14" s="148" t="s">
        <v>39</v>
      </c>
      <c r="I14" s="151">
        <v>0</v>
      </c>
      <c r="J14" s="139">
        <f t="shared" si="0"/>
        <v>6190.83</v>
      </c>
      <c r="K14" s="149">
        <v>0</v>
      </c>
      <c r="L14" s="148">
        <f t="shared" ref="L14:L47" si="2">+K14*J14</f>
        <v>0</v>
      </c>
      <c r="M14" s="148">
        <f t="shared" si="1"/>
        <v>6190.83</v>
      </c>
      <c r="N14" s="102"/>
    </row>
    <row r="15" spans="1:14" s="105" customFormat="1" ht="12.75">
      <c r="A15" s="102"/>
      <c r="B15" s="146">
        <v>45750</v>
      </c>
      <c r="C15" s="147" t="s">
        <v>108</v>
      </c>
      <c r="D15" s="147">
        <v>3760</v>
      </c>
      <c r="E15" s="147" t="s">
        <v>84</v>
      </c>
      <c r="F15" s="147" t="s">
        <v>109</v>
      </c>
      <c r="G15" s="150">
        <v>713.91</v>
      </c>
      <c r="H15" s="148" t="s">
        <v>39</v>
      </c>
      <c r="I15" s="151">
        <v>0</v>
      </c>
      <c r="J15" s="139">
        <f t="shared" si="0"/>
        <v>713.91</v>
      </c>
      <c r="K15" s="149">
        <v>0</v>
      </c>
      <c r="L15" s="148">
        <f t="shared" si="2"/>
        <v>0</v>
      </c>
      <c r="M15" s="148">
        <f t="shared" si="1"/>
        <v>713.91</v>
      </c>
      <c r="N15" s="102"/>
    </row>
    <row r="16" spans="1:14" s="105" customFormat="1" ht="12.75">
      <c r="A16" s="102"/>
      <c r="B16" s="146">
        <v>45796</v>
      </c>
      <c r="C16" s="147" t="s">
        <v>111</v>
      </c>
      <c r="D16" s="147" t="s">
        <v>112</v>
      </c>
      <c r="E16" s="147" t="s">
        <v>113</v>
      </c>
      <c r="F16" s="147" t="s">
        <v>114</v>
      </c>
      <c r="G16" s="150">
        <v>235.04</v>
      </c>
      <c r="H16" s="148" t="s">
        <v>39</v>
      </c>
      <c r="I16" s="151">
        <v>0</v>
      </c>
      <c r="J16" s="139">
        <f t="shared" si="0"/>
        <v>235.04</v>
      </c>
      <c r="K16" s="149">
        <v>0</v>
      </c>
      <c r="L16" s="148">
        <f t="shared" si="2"/>
        <v>0</v>
      </c>
      <c r="M16" s="148">
        <f t="shared" si="1"/>
        <v>235.04</v>
      </c>
      <c r="N16" s="102"/>
    </row>
    <row r="17" spans="1:14" s="105" customFormat="1" ht="12.75">
      <c r="A17" s="102"/>
      <c r="B17" s="146">
        <v>45819</v>
      </c>
      <c r="C17" s="147" t="s">
        <v>106</v>
      </c>
      <c r="D17" s="147" t="s">
        <v>121</v>
      </c>
      <c r="E17" s="147" t="s">
        <v>84</v>
      </c>
      <c r="F17" s="147" t="s">
        <v>95</v>
      </c>
      <c r="G17" s="150">
        <v>1169.4000000000001</v>
      </c>
      <c r="H17" s="148" t="s">
        <v>39</v>
      </c>
      <c r="I17" s="151">
        <v>0</v>
      </c>
      <c r="J17" s="139">
        <f t="shared" si="0"/>
        <v>1169.4000000000001</v>
      </c>
      <c r="K17" s="149">
        <v>0</v>
      </c>
      <c r="L17" s="148">
        <f t="shared" si="2"/>
        <v>0</v>
      </c>
      <c r="M17" s="148">
        <f t="shared" si="1"/>
        <v>1169.4000000000001</v>
      </c>
      <c r="N17" s="102"/>
    </row>
    <row r="18" spans="1:14" s="105" customFormat="1" ht="12.75">
      <c r="A18" s="102"/>
      <c r="B18" s="146">
        <v>45856</v>
      </c>
      <c r="C18" s="147" t="s">
        <v>132</v>
      </c>
      <c r="D18" s="147" t="s">
        <v>133</v>
      </c>
      <c r="E18" s="147" t="s">
        <v>84</v>
      </c>
      <c r="F18" s="147" t="s">
        <v>95</v>
      </c>
      <c r="G18" s="150">
        <v>48.43</v>
      </c>
      <c r="H18" s="148" t="s">
        <v>39</v>
      </c>
      <c r="I18" s="151">
        <v>0</v>
      </c>
      <c r="J18" s="139">
        <f t="shared" si="0"/>
        <v>48.43</v>
      </c>
      <c r="K18" s="149">
        <v>0</v>
      </c>
      <c r="L18" s="148">
        <f t="shared" si="2"/>
        <v>0</v>
      </c>
      <c r="M18" s="148">
        <f t="shared" si="1"/>
        <v>48.43</v>
      </c>
      <c r="N18" s="102"/>
    </row>
    <row r="19" spans="1:14" s="105" customFormat="1" ht="12.75">
      <c r="A19" s="102"/>
      <c r="B19" s="146">
        <v>45895</v>
      </c>
      <c r="C19" s="147" t="s">
        <v>138</v>
      </c>
      <c r="D19" s="147" t="s">
        <v>139</v>
      </c>
      <c r="E19" s="147" t="s">
        <v>84</v>
      </c>
      <c r="F19" s="147" t="s">
        <v>95</v>
      </c>
      <c r="G19" s="150">
        <v>631.53</v>
      </c>
      <c r="H19" s="148" t="s">
        <v>39</v>
      </c>
      <c r="I19" s="151">
        <v>0</v>
      </c>
      <c r="J19" s="139">
        <f t="shared" si="0"/>
        <v>631.53</v>
      </c>
      <c r="K19" s="149">
        <v>0</v>
      </c>
      <c r="L19" s="148">
        <f t="shared" si="2"/>
        <v>0</v>
      </c>
      <c r="M19" s="148">
        <f t="shared" si="1"/>
        <v>631.53</v>
      </c>
      <c r="N19" s="102"/>
    </row>
    <row r="20" spans="1:14" s="105" customFormat="1" ht="12.75">
      <c r="A20" s="102"/>
      <c r="B20" s="146">
        <v>45901</v>
      </c>
      <c r="C20" s="147" t="s">
        <v>132</v>
      </c>
      <c r="D20" s="147" t="s">
        <v>140</v>
      </c>
      <c r="E20" s="147" t="s">
        <v>84</v>
      </c>
      <c r="F20" s="147" t="s">
        <v>95</v>
      </c>
      <c r="G20" s="150">
        <v>41.85</v>
      </c>
      <c r="H20" s="148" t="s">
        <v>39</v>
      </c>
      <c r="I20" s="151">
        <v>0</v>
      </c>
      <c r="J20" s="139">
        <f t="shared" si="0"/>
        <v>41.85</v>
      </c>
      <c r="K20" s="149">
        <v>0</v>
      </c>
      <c r="L20" s="148">
        <f t="shared" si="2"/>
        <v>0</v>
      </c>
      <c r="M20" s="148">
        <f t="shared" si="1"/>
        <v>41.85</v>
      </c>
      <c r="N20" s="102"/>
    </row>
    <row r="21" spans="1:14" s="105" customFormat="1" ht="12.75">
      <c r="A21" s="102"/>
      <c r="B21" s="146">
        <v>45904</v>
      </c>
      <c r="C21" s="147" t="s">
        <v>106</v>
      </c>
      <c r="D21" s="147" t="s">
        <v>141</v>
      </c>
      <c r="E21" s="147" t="s">
        <v>84</v>
      </c>
      <c r="F21" s="147" t="s">
        <v>95</v>
      </c>
      <c r="G21" s="150">
        <v>757.21</v>
      </c>
      <c r="H21" s="148" t="s">
        <v>39</v>
      </c>
      <c r="I21" s="151">
        <v>0</v>
      </c>
      <c r="J21" s="139">
        <f t="shared" si="0"/>
        <v>757.21</v>
      </c>
      <c r="K21" s="149">
        <v>0</v>
      </c>
      <c r="L21" s="148">
        <f t="shared" si="2"/>
        <v>0</v>
      </c>
      <c r="M21" s="148">
        <f t="shared" si="1"/>
        <v>757.21</v>
      </c>
      <c r="N21" s="102"/>
    </row>
    <row r="22" spans="1:14" s="105" customFormat="1" ht="12.75">
      <c r="A22" s="102"/>
      <c r="B22" s="146">
        <v>45907</v>
      </c>
      <c r="C22" s="147" t="s">
        <v>93</v>
      </c>
      <c r="D22" s="147">
        <v>700026846</v>
      </c>
      <c r="E22" s="147" t="s">
        <v>84</v>
      </c>
      <c r="F22" s="147" t="s">
        <v>95</v>
      </c>
      <c r="G22" s="150">
        <v>166.67</v>
      </c>
      <c r="H22" s="148" t="s">
        <v>39</v>
      </c>
      <c r="I22" s="151">
        <v>0</v>
      </c>
      <c r="J22" s="139">
        <f t="shared" si="0"/>
        <v>166.67</v>
      </c>
      <c r="K22" s="149">
        <v>0</v>
      </c>
      <c r="L22" s="148">
        <f t="shared" si="2"/>
        <v>0</v>
      </c>
      <c r="M22" s="148">
        <f t="shared" si="1"/>
        <v>166.67</v>
      </c>
      <c r="N22" s="102"/>
    </row>
    <row r="23" spans="1:14" s="105" customFormat="1" ht="12.75">
      <c r="A23" s="102"/>
      <c r="B23" s="146">
        <v>45908</v>
      </c>
      <c r="C23" s="147" t="s">
        <v>93</v>
      </c>
      <c r="D23" s="147">
        <v>700034467</v>
      </c>
      <c r="E23" s="147" t="s">
        <v>84</v>
      </c>
      <c r="F23" s="147" t="s">
        <v>95</v>
      </c>
      <c r="G23" s="150">
        <v>49.83</v>
      </c>
      <c r="H23" s="148" t="s">
        <v>39</v>
      </c>
      <c r="I23" s="151">
        <v>0</v>
      </c>
      <c r="J23" s="139">
        <f t="shared" si="0"/>
        <v>49.83</v>
      </c>
      <c r="K23" s="149">
        <v>0</v>
      </c>
      <c r="L23" s="148">
        <f t="shared" si="2"/>
        <v>0</v>
      </c>
      <c r="M23" s="148">
        <f t="shared" si="1"/>
        <v>49.83</v>
      </c>
      <c r="N23" s="102"/>
    </row>
    <row r="24" spans="1:14" s="105" customFormat="1" ht="12.75">
      <c r="A24" s="102"/>
      <c r="B24" s="146">
        <v>45910</v>
      </c>
      <c r="C24" s="147" t="s">
        <v>106</v>
      </c>
      <c r="D24" s="147" t="s">
        <v>142</v>
      </c>
      <c r="E24" s="147" t="s">
        <v>84</v>
      </c>
      <c r="F24" s="147" t="s">
        <v>95</v>
      </c>
      <c r="G24" s="150">
        <v>54.07</v>
      </c>
      <c r="H24" s="148" t="s">
        <v>39</v>
      </c>
      <c r="I24" s="151">
        <v>0</v>
      </c>
      <c r="J24" s="139">
        <f t="shared" si="0"/>
        <v>54.07</v>
      </c>
      <c r="K24" s="149">
        <v>0</v>
      </c>
      <c r="L24" s="148">
        <f t="shared" si="2"/>
        <v>0</v>
      </c>
      <c r="M24" s="148">
        <f t="shared" si="1"/>
        <v>54.07</v>
      </c>
      <c r="N24" s="102"/>
    </row>
    <row r="25" spans="1:14" s="105" customFormat="1" ht="12.75">
      <c r="A25" s="102"/>
      <c r="B25" s="146">
        <v>45930</v>
      </c>
      <c r="C25" s="147" t="s">
        <v>106</v>
      </c>
      <c r="D25" s="147" t="s">
        <v>143</v>
      </c>
      <c r="E25" s="147" t="s">
        <v>84</v>
      </c>
      <c r="F25" s="147" t="s">
        <v>95</v>
      </c>
      <c r="G25" s="150">
        <v>99.58</v>
      </c>
      <c r="H25" s="148" t="s">
        <v>39</v>
      </c>
      <c r="I25" s="151">
        <v>0</v>
      </c>
      <c r="J25" s="139">
        <f t="shared" si="0"/>
        <v>99.58</v>
      </c>
      <c r="K25" s="149">
        <v>0</v>
      </c>
      <c r="L25" s="148">
        <f t="shared" si="2"/>
        <v>0</v>
      </c>
      <c r="M25" s="148">
        <f t="shared" si="1"/>
        <v>99.58</v>
      </c>
      <c r="N25" s="102"/>
    </row>
    <row r="26" spans="1:14" s="105" customFormat="1" ht="12.75">
      <c r="A26" s="102"/>
      <c r="B26" s="146">
        <v>45944</v>
      </c>
      <c r="C26" s="147" t="s">
        <v>93</v>
      </c>
      <c r="D26" s="147" t="s">
        <v>150</v>
      </c>
      <c r="E26" s="147" t="s">
        <v>94</v>
      </c>
      <c r="F26" s="147" t="s">
        <v>95</v>
      </c>
      <c r="G26" s="150">
        <v>5925</v>
      </c>
      <c r="H26" s="148" t="s">
        <v>39</v>
      </c>
      <c r="I26" s="151">
        <v>0</v>
      </c>
      <c r="J26" s="139">
        <f t="shared" si="0"/>
        <v>5925</v>
      </c>
      <c r="K26" s="149">
        <v>0</v>
      </c>
      <c r="L26" s="148">
        <f t="shared" si="2"/>
        <v>0</v>
      </c>
      <c r="M26" s="148">
        <f t="shared" si="1"/>
        <v>5925</v>
      </c>
      <c r="N26" s="102"/>
    </row>
    <row r="27" spans="1:14" s="105" customFormat="1" ht="12.75">
      <c r="A27" s="102"/>
      <c r="B27" s="146">
        <v>45967</v>
      </c>
      <c r="C27" s="147" t="s">
        <v>106</v>
      </c>
      <c r="D27" s="147" t="s">
        <v>157</v>
      </c>
      <c r="E27" s="147" t="s">
        <v>84</v>
      </c>
      <c r="F27" s="147" t="s">
        <v>95</v>
      </c>
      <c r="G27" s="150">
        <v>367.42</v>
      </c>
      <c r="H27" s="148"/>
      <c r="I27" s="151"/>
      <c r="J27" s="139">
        <f t="shared" si="0"/>
        <v>367.42</v>
      </c>
      <c r="K27" s="149">
        <v>0</v>
      </c>
      <c r="L27" s="148">
        <f t="shared" si="2"/>
        <v>0</v>
      </c>
      <c r="M27" s="148">
        <f t="shared" si="1"/>
        <v>367.42</v>
      </c>
      <c r="N27" s="102"/>
    </row>
    <row r="28" spans="1:14" s="105" customFormat="1" ht="12.75">
      <c r="A28" s="102"/>
      <c r="B28" s="146"/>
      <c r="C28" s="147"/>
      <c r="D28" s="147"/>
      <c r="E28" s="147"/>
      <c r="F28" s="147"/>
      <c r="G28" s="150"/>
      <c r="H28" s="148"/>
      <c r="I28" s="151"/>
      <c r="J28" s="139">
        <f t="shared" si="0"/>
        <v>0</v>
      </c>
      <c r="K28" s="149">
        <v>0</v>
      </c>
      <c r="L28" s="148">
        <f t="shared" si="2"/>
        <v>0</v>
      </c>
      <c r="M28" s="148">
        <f t="shared" si="1"/>
        <v>0</v>
      </c>
      <c r="N28" s="102"/>
    </row>
    <row r="29" spans="1:14" s="105" customFormat="1" ht="12.75">
      <c r="A29" s="102"/>
      <c r="B29" s="146"/>
      <c r="C29" s="147"/>
      <c r="D29" s="147"/>
      <c r="E29" s="147"/>
      <c r="F29" s="147"/>
      <c r="G29" s="150"/>
      <c r="H29" s="148"/>
      <c r="I29" s="151"/>
      <c r="J29" s="139">
        <f t="shared" si="0"/>
        <v>0</v>
      </c>
      <c r="K29" s="149">
        <v>0</v>
      </c>
      <c r="L29" s="148">
        <f t="shared" si="2"/>
        <v>0</v>
      </c>
      <c r="M29" s="148">
        <f t="shared" si="1"/>
        <v>0</v>
      </c>
      <c r="N29" s="102"/>
    </row>
    <row r="30" spans="1:14" s="105" customFormat="1" ht="12.75">
      <c r="A30" s="102"/>
      <c r="B30" s="146"/>
      <c r="C30" s="147"/>
      <c r="D30" s="147"/>
      <c r="E30" s="147"/>
      <c r="F30" s="147"/>
      <c r="G30" s="150"/>
      <c r="H30" s="148"/>
      <c r="I30" s="151"/>
      <c r="J30" s="139">
        <f t="shared" si="0"/>
        <v>0</v>
      </c>
      <c r="K30" s="149">
        <v>0</v>
      </c>
      <c r="L30" s="148">
        <f t="shared" si="2"/>
        <v>0</v>
      </c>
      <c r="M30" s="148">
        <f t="shared" si="1"/>
        <v>0</v>
      </c>
      <c r="N30" s="102"/>
    </row>
    <row r="31" spans="1:14" s="105" customFormat="1" ht="12.75">
      <c r="A31" s="102"/>
      <c r="B31" s="146"/>
      <c r="C31" s="147"/>
      <c r="D31" s="147"/>
      <c r="E31" s="147"/>
      <c r="F31" s="147"/>
      <c r="G31" s="150"/>
      <c r="H31" s="148"/>
      <c r="I31" s="151"/>
      <c r="J31" s="139">
        <f t="shared" si="0"/>
        <v>0</v>
      </c>
      <c r="K31" s="149">
        <v>0</v>
      </c>
      <c r="L31" s="148">
        <f t="shared" si="2"/>
        <v>0</v>
      </c>
      <c r="M31" s="148">
        <f t="shared" si="1"/>
        <v>0</v>
      </c>
      <c r="N31" s="102"/>
    </row>
    <row r="32" spans="1:14" s="105" customFormat="1" ht="12.75">
      <c r="A32" s="102"/>
      <c r="B32" s="146"/>
      <c r="C32" s="147"/>
      <c r="D32" s="147"/>
      <c r="E32" s="147"/>
      <c r="F32" s="147"/>
      <c r="G32" s="150"/>
      <c r="H32" s="148"/>
      <c r="I32" s="151"/>
      <c r="J32" s="139">
        <f t="shared" si="0"/>
        <v>0</v>
      </c>
      <c r="K32" s="149">
        <v>0</v>
      </c>
      <c r="L32" s="148">
        <f t="shared" si="2"/>
        <v>0</v>
      </c>
      <c r="M32" s="148">
        <f t="shared" si="1"/>
        <v>0</v>
      </c>
      <c r="N32" s="102"/>
    </row>
    <row r="33" spans="1:14" s="105" customFormat="1" ht="12.75">
      <c r="A33" s="102"/>
      <c r="B33" s="146"/>
      <c r="C33" s="147"/>
      <c r="D33" s="147"/>
      <c r="E33" s="147"/>
      <c r="F33" s="147"/>
      <c r="G33" s="150"/>
      <c r="H33" s="148"/>
      <c r="I33" s="151"/>
      <c r="J33" s="139">
        <f t="shared" si="0"/>
        <v>0</v>
      </c>
      <c r="K33" s="149">
        <v>0</v>
      </c>
      <c r="L33" s="148">
        <f t="shared" si="2"/>
        <v>0</v>
      </c>
      <c r="M33" s="148">
        <f t="shared" si="1"/>
        <v>0</v>
      </c>
      <c r="N33" s="102"/>
    </row>
    <row r="34" spans="1:14" s="105" customFormat="1" ht="12.75">
      <c r="A34" s="102"/>
      <c r="B34" s="146"/>
      <c r="C34" s="147"/>
      <c r="D34" s="147"/>
      <c r="E34" s="147"/>
      <c r="F34" s="147"/>
      <c r="G34" s="150"/>
      <c r="H34" s="148"/>
      <c r="I34" s="151"/>
      <c r="J34" s="139">
        <f t="shared" si="0"/>
        <v>0</v>
      </c>
      <c r="K34" s="149">
        <v>0</v>
      </c>
      <c r="L34" s="148">
        <f t="shared" si="2"/>
        <v>0</v>
      </c>
      <c r="M34" s="148">
        <f t="shared" si="1"/>
        <v>0</v>
      </c>
      <c r="N34" s="102"/>
    </row>
    <row r="35" spans="1:14" s="105" customFormat="1" ht="12.75">
      <c r="A35" s="102"/>
      <c r="B35" s="146"/>
      <c r="C35" s="147"/>
      <c r="D35" s="147"/>
      <c r="E35" s="147"/>
      <c r="F35" s="147"/>
      <c r="G35" s="150"/>
      <c r="H35" s="148"/>
      <c r="I35" s="151"/>
      <c r="J35" s="139">
        <f t="shared" si="0"/>
        <v>0</v>
      </c>
      <c r="K35" s="149">
        <v>0</v>
      </c>
      <c r="L35" s="148">
        <f t="shared" si="2"/>
        <v>0</v>
      </c>
      <c r="M35" s="148">
        <f t="shared" si="1"/>
        <v>0</v>
      </c>
      <c r="N35" s="102"/>
    </row>
    <row r="36" spans="1:14" s="105" customFormat="1" ht="12.75">
      <c r="A36" s="102"/>
      <c r="B36" s="146"/>
      <c r="C36" s="147"/>
      <c r="D36" s="147"/>
      <c r="E36" s="147"/>
      <c r="F36" s="147"/>
      <c r="G36" s="150"/>
      <c r="H36" s="148"/>
      <c r="I36" s="151"/>
      <c r="J36" s="139">
        <f t="shared" si="0"/>
        <v>0</v>
      </c>
      <c r="K36" s="149">
        <v>0</v>
      </c>
      <c r="L36" s="148">
        <f t="shared" si="2"/>
        <v>0</v>
      </c>
      <c r="M36" s="148">
        <f t="shared" si="1"/>
        <v>0</v>
      </c>
      <c r="N36" s="102"/>
    </row>
    <row r="37" spans="1:14" s="105" customFormat="1" ht="12.75">
      <c r="A37" s="102"/>
      <c r="B37" s="146"/>
      <c r="C37" s="147"/>
      <c r="D37" s="147"/>
      <c r="E37" s="147"/>
      <c r="F37" s="147"/>
      <c r="G37" s="150"/>
      <c r="H37" s="148"/>
      <c r="I37" s="151"/>
      <c r="J37" s="139">
        <f t="shared" si="0"/>
        <v>0</v>
      </c>
      <c r="K37" s="149">
        <v>0</v>
      </c>
      <c r="L37" s="148">
        <f t="shared" si="2"/>
        <v>0</v>
      </c>
      <c r="M37" s="148">
        <f t="shared" si="1"/>
        <v>0</v>
      </c>
      <c r="N37" s="102"/>
    </row>
    <row r="38" spans="1:14" s="105" customFormat="1" ht="12.75">
      <c r="A38" s="102"/>
      <c r="B38" s="146"/>
      <c r="C38" s="147"/>
      <c r="D38" s="147"/>
      <c r="E38" s="147"/>
      <c r="F38" s="147"/>
      <c r="G38" s="150"/>
      <c r="H38" s="148"/>
      <c r="I38" s="151"/>
      <c r="J38" s="139">
        <f t="shared" si="0"/>
        <v>0</v>
      </c>
      <c r="K38" s="149">
        <v>0</v>
      </c>
      <c r="L38" s="148">
        <f t="shared" si="2"/>
        <v>0</v>
      </c>
      <c r="M38" s="148">
        <f t="shared" si="1"/>
        <v>0</v>
      </c>
      <c r="N38" s="102"/>
    </row>
    <row r="39" spans="1:14" s="105" customFormat="1" ht="12.75">
      <c r="A39" s="102"/>
      <c r="B39" s="146"/>
      <c r="C39" s="147"/>
      <c r="D39" s="147"/>
      <c r="E39" s="147"/>
      <c r="F39" s="147"/>
      <c r="G39" s="150"/>
      <c r="H39" s="148"/>
      <c r="I39" s="151"/>
      <c r="J39" s="139">
        <f t="shared" si="0"/>
        <v>0</v>
      </c>
      <c r="K39" s="149">
        <v>0</v>
      </c>
      <c r="L39" s="148">
        <f t="shared" si="2"/>
        <v>0</v>
      </c>
      <c r="M39" s="148">
        <f t="shared" si="1"/>
        <v>0</v>
      </c>
      <c r="N39" s="102"/>
    </row>
    <row r="40" spans="1:14" s="105" customFormat="1" ht="12.75">
      <c r="A40" s="102"/>
      <c r="B40" s="146"/>
      <c r="C40" s="147"/>
      <c r="D40" s="147"/>
      <c r="E40" s="147"/>
      <c r="F40" s="147"/>
      <c r="G40" s="150"/>
      <c r="H40" s="148"/>
      <c r="I40" s="151"/>
      <c r="J40" s="139">
        <f t="shared" si="0"/>
        <v>0</v>
      </c>
      <c r="K40" s="149">
        <v>0</v>
      </c>
      <c r="L40" s="148">
        <f t="shared" si="2"/>
        <v>0</v>
      </c>
      <c r="M40" s="148">
        <f t="shared" si="1"/>
        <v>0</v>
      </c>
      <c r="N40" s="102"/>
    </row>
    <row r="41" spans="1:14" s="105" customFormat="1" ht="12.75">
      <c r="A41" s="102"/>
      <c r="B41" s="146"/>
      <c r="C41" s="147"/>
      <c r="D41" s="147"/>
      <c r="E41" s="147"/>
      <c r="F41" s="147"/>
      <c r="G41" s="150"/>
      <c r="H41" s="148"/>
      <c r="I41" s="151"/>
      <c r="J41" s="139">
        <f t="shared" si="0"/>
        <v>0</v>
      </c>
      <c r="K41" s="149">
        <v>0</v>
      </c>
      <c r="L41" s="148">
        <f t="shared" si="2"/>
        <v>0</v>
      </c>
      <c r="M41" s="148">
        <f t="shared" si="1"/>
        <v>0</v>
      </c>
      <c r="N41" s="102"/>
    </row>
    <row r="42" spans="1:14" s="105" customFormat="1" ht="12.75">
      <c r="A42" s="102"/>
      <c r="B42" s="146"/>
      <c r="C42" s="147"/>
      <c r="D42" s="147"/>
      <c r="E42" s="147"/>
      <c r="F42" s="147"/>
      <c r="G42" s="150"/>
      <c r="H42" s="148"/>
      <c r="I42" s="151"/>
      <c r="J42" s="139">
        <f t="shared" si="0"/>
        <v>0</v>
      </c>
      <c r="K42" s="149">
        <v>0</v>
      </c>
      <c r="L42" s="148">
        <f t="shared" si="2"/>
        <v>0</v>
      </c>
      <c r="M42" s="148">
        <f t="shared" si="1"/>
        <v>0</v>
      </c>
      <c r="N42" s="102"/>
    </row>
    <row r="43" spans="1:14" s="105" customFormat="1" ht="12.75">
      <c r="A43" s="102"/>
      <c r="B43" s="146"/>
      <c r="C43" s="147"/>
      <c r="D43" s="147"/>
      <c r="E43" s="147"/>
      <c r="F43" s="147"/>
      <c r="G43" s="150"/>
      <c r="H43" s="148"/>
      <c r="I43" s="151"/>
      <c r="J43" s="139">
        <f t="shared" si="0"/>
        <v>0</v>
      </c>
      <c r="K43" s="149">
        <v>0</v>
      </c>
      <c r="L43" s="148">
        <f t="shared" si="2"/>
        <v>0</v>
      </c>
      <c r="M43" s="148">
        <f t="shared" si="1"/>
        <v>0</v>
      </c>
      <c r="N43" s="102"/>
    </row>
    <row r="44" spans="1:14" s="105" customFormat="1" ht="12.75">
      <c r="A44" s="102"/>
      <c r="B44" s="146"/>
      <c r="C44" s="147"/>
      <c r="D44" s="147"/>
      <c r="E44" s="147"/>
      <c r="F44" s="147"/>
      <c r="G44" s="150"/>
      <c r="H44" s="148"/>
      <c r="I44" s="151"/>
      <c r="J44" s="139">
        <f t="shared" si="0"/>
        <v>0</v>
      </c>
      <c r="K44" s="149">
        <v>0</v>
      </c>
      <c r="L44" s="148">
        <f t="shared" si="2"/>
        <v>0</v>
      </c>
      <c r="M44" s="148">
        <f t="shared" si="1"/>
        <v>0</v>
      </c>
      <c r="N44" s="102"/>
    </row>
    <row r="45" spans="1:14" s="105" customFormat="1" ht="12.75">
      <c r="A45" s="102"/>
      <c r="B45" s="146"/>
      <c r="C45" s="147"/>
      <c r="D45" s="147"/>
      <c r="E45" s="147"/>
      <c r="F45" s="147"/>
      <c r="G45" s="150"/>
      <c r="H45" s="148"/>
      <c r="I45" s="151"/>
      <c r="J45" s="139">
        <f t="shared" si="0"/>
        <v>0</v>
      </c>
      <c r="K45" s="149">
        <v>0</v>
      </c>
      <c r="L45" s="148">
        <f t="shared" si="2"/>
        <v>0</v>
      </c>
      <c r="M45" s="148">
        <f t="shared" si="1"/>
        <v>0</v>
      </c>
      <c r="N45" s="102"/>
    </row>
    <row r="46" spans="1:14" s="105" customFormat="1" ht="12.75">
      <c r="A46" s="102"/>
      <c r="B46" s="146"/>
      <c r="C46" s="147"/>
      <c r="D46" s="147"/>
      <c r="E46" s="147"/>
      <c r="F46" s="147"/>
      <c r="G46" s="150"/>
      <c r="H46" s="148"/>
      <c r="I46" s="151"/>
      <c r="J46" s="139">
        <f t="shared" si="0"/>
        <v>0</v>
      </c>
      <c r="K46" s="149">
        <v>0</v>
      </c>
      <c r="L46" s="148">
        <f t="shared" si="2"/>
        <v>0</v>
      </c>
      <c r="M46" s="148">
        <f t="shared" si="1"/>
        <v>0</v>
      </c>
      <c r="N46" s="102"/>
    </row>
    <row r="47" spans="1:14" s="105" customFormat="1" ht="12.75">
      <c r="A47" s="102"/>
      <c r="B47" s="146"/>
      <c r="C47" s="147"/>
      <c r="D47" s="147"/>
      <c r="E47" s="147"/>
      <c r="F47" s="147"/>
      <c r="G47" s="150"/>
      <c r="H47" s="148"/>
      <c r="I47" s="151"/>
      <c r="J47" s="139">
        <f t="shared" si="0"/>
        <v>0</v>
      </c>
      <c r="K47" s="149">
        <v>0</v>
      </c>
      <c r="L47" s="148">
        <f t="shared" si="2"/>
        <v>0</v>
      </c>
      <c r="M47" s="148">
        <f t="shared" si="1"/>
        <v>0</v>
      </c>
      <c r="N47" s="102"/>
    </row>
    <row r="48" spans="1:14" s="91" customFormat="1" ht="12.75">
      <c r="B48" s="134"/>
      <c r="C48" s="166"/>
      <c r="D48" s="166"/>
      <c r="E48" s="166"/>
      <c r="F48" s="130"/>
      <c r="G48" s="167"/>
      <c r="H48" s="130"/>
      <c r="I48" s="138"/>
      <c r="J48" s="139">
        <f>G48</f>
        <v>0</v>
      </c>
      <c r="K48" s="149">
        <v>0</v>
      </c>
      <c r="L48" s="148">
        <f>+K48*J48</f>
        <v>0</v>
      </c>
      <c r="M48" s="148">
        <f>SUM(J48+L48)</f>
        <v>0</v>
      </c>
    </row>
    <row r="49" spans="1:14" ht="15">
      <c r="D49" s="19"/>
      <c r="H49" s="44"/>
      <c r="I49" s="24" t="s">
        <v>12</v>
      </c>
      <c r="J49" s="75">
        <f>SUM(J12:J48)</f>
        <v>16772.190000000002</v>
      </c>
      <c r="K49" s="45"/>
      <c r="L49" s="75">
        <f>SUM(L12:L48)</f>
        <v>0</v>
      </c>
      <c r="M49" s="75">
        <f>SUM(M12:M48)</f>
        <v>16772.190000000002</v>
      </c>
    </row>
    <row r="50" spans="1:14">
      <c r="D50" s="19"/>
    </row>
    <row r="51" spans="1:14">
      <c r="D51" s="19"/>
    </row>
    <row r="52" spans="1:14" s="46" customFormat="1" ht="12" customHeight="1">
      <c r="A52" s="14"/>
      <c r="D52" s="34"/>
      <c r="J52" s="34"/>
      <c r="K52" s="47"/>
      <c r="M52" s="47"/>
      <c r="N52" s="14"/>
    </row>
    <row r="53" spans="1:14" s="46" customFormat="1" ht="12" customHeight="1">
      <c r="A53" s="14"/>
      <c r="D53" s="34"/>
      <c r="J53" s="34"/>
      <c r="K53" s="47"/>
      <c r="M53" s="47"/>
      <c r="N53" s="14"/>
    </row>
    <row r="54" spans="1:14" s="46" customFormat="1" ht="12" customHeight="1">
      <c r="A54" s="14"/>
      <c r="D54" s="49"/>
      <c r="J54" s="34"/>
      <c r="K54" s="47"/>
      <c r="M54" s="47"/>
      <c r="N54" s="14"/>
    </row>
    <row r="55" spans="1:14" s="46" customFormat="1" ht="12" customHeight="1">
      <c r="A55" s="14"/>
      <c r="D55" s="49"/>
      <c r="J55" s="34"/>
      <c r="K55" s="47"/>
      <c r="M55" s="47"/>
      <c r="N55" s="14"/>
    </row>
    <row r="56" spans="1:14" s="46" customFormat="1" ht="12" customHeight="1">
      <c r="A56" s="14"/>
      <c r="D56" s="49"/>
      <c r="J56" s="34"/>
      <c r="K56" s="47"/>
      <c r="M56" s="47"/>
      <c r="N56" s="14"/>
    </row>
    <row r="57" spans="1:14" s="46" customFormat="1" ht="12" customHeight="1">
      <c r="A57" s="14"/>
      <c r="D57" s="49"/>
      <c r="J57" s="34"/>
      <c r="K57" s="47"/>
      <c r="M57" s="47"/>
      <c r="N57" s="14"/>
    </row>
  </sheetData>
  <mergeCells count="2">
    <mergeCell ref="B6:M6"/>
    <mergeCell ref="B8:M8"/>
  </mergeCells>
  <printOptions horizontalCentered="1" gridLinesSet="0"/>
  <pageMargins left="0.55118110236220474" right="0.55118110236220474" top="0.59055118110236227" bottom="0.98425196850393704" header="0.51181102362204722" footer="0.51181102362204722"/>
  <pageSetup paperSize="9" scale="5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AF71-165D-4244-822B-F29DBE3AECA6}">
  <sheetPr codeName="Sheet6">
    <tabColor theme="3" tint="0.39997558519241921"/>
    <pageSetUpPr fitToPage="1"/>
  </sheetPr>
  <dimension ref="A1:Q73"/>
  <sheetViews>
    <sheetView showGridLines="0" view="pageBreakPreview" topLeftCell="A20" zoomScale="85" zoomScaleNormal="66" zoomScaleSheetLayoutView="85" workbookViewId="0">
      <selection activeCell="B59" sqref="B59"/>
    </sheetView>
  </sheetViews>
  <sheetFormatPr baseColWidth="10" defaultColWidth="9.28515625" defaultRowHeight="12.75"/>
  <cols>
    <col min="1" max="1" width="2.7109375" style="91" customWidth="1"/>
    <col min="2" max="2" width="12.5703125" style="90" customWidth="1"/>
    <col min="3" max="3" width="23.42578125" style="90" customWidth="1"/>
    <col min="4" max="4" width="12" style="97" customWidth="1"/>
    <col min="5" max="5" width="31.28515625" style="90" customWidth="1"/>
    <col min="6" max="6" width="16.5703125" style="93" customWidth="1"/>
    <col min="7" max="7" width="10.42578125" style="90" bestFit="1" customWidth="1"/>
    <col min="8" max="8" width="11.42578125" style="90" bestFit="1" customWidth="1"/>
    <col min="9" max="9" width="19.5703125" style="98" customWidth="1"/>
    <col min="10" max="10" width="8.28515625" style="90" bestFit="1" customWidth="1"/>
    <col min="11" max="11" width="18" style="98" customWidth="1"/>
    <col min="12" max="12" width="18.5703125" style="90" customWidth="1"/>
    <col min="13" max="13" width="2.7109375" style="91" customWidth="1"/>
    <col min="14" max="15" width="9.28515625" style="90"/>
    <col min="16" max="16" width="11.42578125" style="90" bestFit="1" customWidth="1"/>
    <col min="17" max="16384" width="9.28515625" style="90"/>
  </cols>
  <sheetData>
    <row r="1" spans="1:17" s="4" customFormat="1" ht="15">
      <c r="A1" s="12"/>
      <c r="B1" s="117" t="str">
        <f>+Achats_LUX!B1</f>
        <v>Carla_________</v>
      </c>
      <c r="C1" s="19"/>
      <c r="D1" s="19"/>
      <c r="E1" s="19"/>
      <c r="F1" s="19"/>
      <c r="G1" s="19"/>
      <c r="H1" s="20"/>
      <c r="I1" s="21"/>
      <c r="J1" s="19"/>
      <c r="K1" s="21"/>
      <c r="L1" s="20" t="s">
        <v>41</v>
      </c>
      <c r="M1" s="12"/>
    </row>
    <row r="2" spans="1:17" s="4" customFormat="1" ht="14.25">
      <c r="A2" s="12"/>
      <c r="B2" s="117" t="s">
        <v>46</v>
      </c>
      <c r="C2" s="19"/>
      <c r="D2" s="19"/>
      <c r="E2" s="19"/>
      <c r="F2" s="19"/>
      <c r="G2" s="19"/>
      <c r="H2" s="19"/>
      <c r="I2" s="21"/>
      <c r="J2" s="19"/>
      <c r="K2" s="21"/>
      <c r="L2" s="19"/>
      <c r="M2" s="12"/>
    </row>
    <row r="3" spans="1:17" s="4" customFormat="1" ht="15">
      <c r="A3" s="12"/>
      <c r="B3" s="117">
        <v>0</v>
      </c>
      <c r="C3" s="22"/>
      <c r="D3" s="19"/>
      <c r="E3" s="22"/>
      <c r="F3" s="22"/>
      <c r="G3" s="22"/>
      <c r="H3" s="19"/>
      <c r="I3" s="21"/>
      <c r="J3" s="19"/>
      <c r="K3" s="21"/>
      <c r="L3" s="19"/>
      <c r="M3" s="12"/>
    </row>
    <row r="4" spans="1:17" s="1" customFormat="1" ht="14.25">
      <c r="A4" s="12"/>
      <c r="B4" s="117" t="s">
        <v>45</v>
      </c>
      <c r="C4" s="14"/>
      <c r="D4" s="13"/>
      <c r="E4" s="14"/>
      <c r="F4" s="13"/>
      <c r="G4" s="13"/>
      <c r="H4" s="14"/>
      <c r="I4" s="21"/>
      <c r="J4" s="14"/>
      <c r="K4" s="21"/>
      <c r="L4" s="14"/>
      <c r="M4" s="12"/>
    </row>
    <row r="5" spans="1:17" s="1" customFormat="1" ht="14.25">
      <c r="A5" s="14"/>
      <c r="B5" s="14"/>
      <c r="C5" s="14"/>
      <c r="D5" s="13"/>
      <c r="E5" s="14"/>
      <c r="F5" s="13"/>
      <c r="G5" s="13"/>
      <c r="H5" s="14"/>
      <c r="I5" s="21"/>
      <c r="J5" s="14"/>
      <c r="K5" s="21"/>
      <c r="L5" s="14"/>
      <c r="M5" s="14"/>
      <c r="O5" s="304">
        <f>500*30</f>
        <v>15000</v>
      </c>
      <c r="P5" s="304"/>
      <c r="Q5" s="304"/>
    </row>
    <row r="6" spans="1:17" s="5" customFormat="1" ht="15">
      <c r="A6" s="14"/>
      <c r="B6" s="301" t="s">
        <v>47</v>
      </c>
      <c r="C6" s="301"/>
      <c r="D6" s="301"/>
      <c r="E6" s="301"/>
      <c r="F6" s="301"/>
      <c r="G6" s="301"/>
      <c r="H6" s="301"/>
      <c r="I6" s="301"/>
      <c r="J6" s="301"/>
      <c r="K6" s="302"/>
      <c r="L6" s="302"/>
      <c r="M6" s="14"/>
      <c r="O6" s="304"/>
      <c r="P6" s="304"/>
      <c r="Q6" s="304"/>
    </row>
    <row r="7" spans="1:17" s="100" customFormat="1" ht="14.25">
      <c r="A7" s="14"/>
      <c r="B7" s="99"/>
      <c r="C7" s="13"/>
      <c r="D7" s="13"/>
      <c r="E7" s="13"/>
      <c r="F7" s="13"/>
      <c r="G7" s="13"/>
      <c r="H7" s="13"/>
      <c r="I7" s="23"/>
      <c r="J7" s="13"/>
      <c r="K7" s="23"/>
      <c r="L7" s="13"/>
      <c r="M7" s="14"/>
    </row>
    <row r="8" spans="1:17" s="100" customFormat="1" ht="15.75">
      <c r="A8" s="14"/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14"/>
    </row>
    <row r="9" spans="1:17" s="92" customFormat="1">
      <c r="A9" s="91"/>
      <c r="B9" s="91"/>
      <c r="C9" s="91"/>
      <c r="D9" s="91"/>
      <c r="E9" s="91"/>
      <c r="F9" s="91"/>
      <c r="G9" s="91"/>
      <c r="H9" s="91"/>
      <c r="I9" s="89"/>
      <c r="J9" s="91"/>
      <c r="K9" s="89"/>
      <c r="L9" s="91"/>
      <c r="M9" s="91"/>
    </row>
    <row r="10" spans="1:17" s="92" customFormat="1">
      <c r="A10" s="91"/>
      <c r="B10" s="91"/>
      <c r="C10" s="91"/>
      <c r="D10" s="91"/>
      <c r="E10" s="91"/>
      <c r="F10" s="91"/>
      <c r="G10" s="91"/>
      <c r="H10" s="91"/>
      <c r="I10" s="89"/>
      <c r="J10" s="91"/>
      <c r="K10" s="89"/>
      <c r="L10" s="91"/>
      <c r="M10" s="91"/>
    </row>
    <row r="11" spans="1:17" s="10" customFormat="1" ht="40.15" customHeight="1">
      <c r="A11" s="14"/>
      <c r="B11" s="27" t="s">
        <v>10</v>
      </c>
      <c r="C11" s="28" t="s">
        <v>7</v>
      </c>
      <c r="D11" s="27" t="s">
        <v>4</v>
      </c>
      <c r="E11" s="28" t="s">
        <v>3</v>
      </c>
      <c r="F11" s="17" t="s">
        <v>8</v>
      </c>
      <c r="G11" s="27" t="s">
        <v>1</v>
      </c>
      <c r="H11" s="27" t="s">
        <v>5</v>
      </c>
      <c r="I11" s="18" t="s">
        <v>13</v>
      </c>
      <c r="J11" s="27" t="s">
        <v>9</v>
      </c>
      <c r="K11" s="29" t="s">
        <v>14</v>
      </c>
      <c r="L11" s="27" t="s">
        <v>15</v>
      </c>
      <c r="M11" s="14"/>
    </row>
    <row r="12" spans="1:17" s="10" customFormat="1" ht="14.25">
      <c r="A12" s="14"/>
      <c r="B12" s="296">
        <v>45746</v>
      </c>
      <c r="C12" s="297" t="s">
        <v>97</v>
      </c>
      <c r="D12" s="298">
        <v>1</v>
      </c>
      <c r="E12" s="297" t="s">
        <v>98</v>
      </c>
      <c r="F12" s="299">
        <v>153.85</v>
      </c>
      <c r="G12" s="298" t="s">
        <v>39</v>
      </c>
      <c r="H12" s="298">
        <v>0</v>
      </c>
      <c r="I12" s="139">
        <f>+F12</f>
        <v>153.85</v>
      </c>
      <c r="J12" s="140">
        <v>0.17</v>
      </c>
      <c r="K12" s="141">
        <f>+J12*I12</f>
        <v>26.154500000000002</v>
      </c>
      <c r="L12" s="141">
        <f>+K12+I12</f>
        <v>180.00450000000001</v>
      </c>
      <c r="M12" s="14"/>
    </row>
    <row r="13" spans="1:17" ht="14.25">
      <c r="B13" s="136">
        <v>45746</v>
      </c>
      <c r="C13" s="137" t="s">
        <v>99</v>
      </c>
      <c r="D13" s="298">
        <v>2</v>
      </c>
      <c r="E13" s="297" t="s">
        <v>98</v>
      </c>
      <c r="F13" s="299">
        <v>25.64</v>
      </c>
      <c r="G13" s="298" t="s">
        <v>39</v>
      </c>
      <c r="H13" s="298">
        <v>0</v>
      </c>
      <c r="I13" s="139">
        <f t="shared" ref="I13:I60" si="0">+F13</f>
        <v>25.64</v>
      </c>
      <c r="J13" s="140">
        <v>0.17</v>
      </c>
      <c r="K13" s="141">
        <f>+J13*I13</f>
        <v>4.3588000000000005</v>
      </c>
      <c r="L13" s="141">
        <f>+K13+I13</f>
        <v>29.998800000000003</v>
      </c>
    </row>
    <row r="14" spans="1:17" ht="14.25">
      <c r="B14" s="136">
        <v>45746</v>
      </c>
      <c r="C14" s="137" t="s">
        <v>100</v>
      </c>
      <c r="D14" s="298">
        <v>3</v>
      </c>
      <c r="E14" s="297" t="s">
        <v>98</v>
      </c>
      <c r="F14" s="299">
        <v>33.33</v>
      </c>
      <c r="G14" s="298" t="s">
        <v>39</v>
      </c>
      <c r="H14" s="298">
        <v>0</v>
      </c>
      <c r="I14" s="139">
        <f t="shared" si="0"/>
        <v>33.33</v>
      </c>
      <c r="J14" s="140">
        <v>0.17</v>
      </c>
      <c r="K14" s="141">
        <f t="shared" ref="K14:K59" si="1">+J14*I14</f>
        <v>5.6661000000000001</v>
      </c>
      <c r="L14" s="141">
        <f t="shared" ref="L14:L60" si="2">+K14+I14</f>
        <v>38.996099999999998</v>
      </c>
    </row>
    <row r="15" spans="1:17" ht="14.25">
      <c r="B15" s="136">
        <v>45759</v>
      </c>
      <c r="C15" s="137" t="s">
        <v>101</v>
      </c>
      <c r="D15" s="298">
        <v>4</v>
      </c>
      <c r="E15" s="297" t="s">
        <v>98</v>
      </c>
      <c r="F15" s="299">
        <v>38.46</v>
      </c>
      <c r="G15" s="298" t="s">
        <v>39</v>
      </c>
      <c r="H15" s="298">
        <v>0</v>
      </c>
      <c r="I15" s="139">
        <f t="shared" si="0"/>
        <v>38.46</v>
      </c>
      <c r="J15" s="140">
        <v>0.17</v>
      </c>
      <c r="K15" s="141">
        <f t="shared" si="1"/>
        <v>6.5382000000000007</v>
      </c>
      <c r="L15" s="141">
        <f t="shared" si="2"/>
        <v>44.998200000000004</v>
      </c>
    </row>
    <row r="16" spans="1:17" ht="14.25">
      <c r="B16" s="136">
        <v>45759</v>
      </c>
      <c r="C16" s="137" t="s">
        <v>97</v>
      </c>
      <c r="D16" s="298">
        <v>5</v>
      </c>
      <c r="E16" s="297" t="s">
        <v>98</v>
      </c>
      <c r="F16" s="299">
        <v>44.02</v>
      </c>
      <c r="G16" s="298" t="s">
        <v>39</v>
      </c>
      <c r="H16" s="298">
        <v>0</v>
      </c>
      <c r="I16" s="139">
        <f t="shared" si="0"/>
        <v>44.02</v>
      </c>
      <c r="J16" s="140">
        <v>0.17</v>
      </c>
      <c r="K16" s="141">
        <f t="shared" si="1"/>
        <v>7.4834000000000014</v>
      </c>
      <c r="L16" s="141">
        <f t="shared" si="2"/>
        <v>51.503400000000006</v>
      </c>
    </row>
    <row r="17" spans="2:12" ht="14.25">
      <c r="B17" s="136">
        <v>45766</v>
      </c>
      <c r="C17" s="137" t="s">
        <v>102</v>
      </c>
      <c r="D17" s="298">
        <v>6</v>
      </c>
      <c r="E17" s="297" t="s">
        <v>98</v>
      </c>
      <c r="F17" s="299">
        <v>76.92</v>
      </c>
      <c r="G17" s="298" t="s">
        <v>39</v>
      </c>
      <c r="H17" s="298">
        <v>0</v>
      </c>
      <c r="I17" s="139">
        <f t="shared" si="0"/>
        <v>76.92</v>
      </c>
      <c r="J17" s="140">
        <v>0.17</v>
      </c>
      <c r="K17" s="141">
        <f t="shared" si="1"/>
        <v>13.076400000000001</v>
      </c>
      <c r="L17" s="141">
        <f t="shared" si="2"/>
        <v>89.996400000000008</v>
      </c>
    </row>
    <row r="18" spans="2:12" ht="14.25">
      <c r="B18" s="136">
        <v>45770</v>
      </c>
      <c r="C18" s="137" t="s">
        <v>103</v>
      </c>
      <c r="D18" s="298">
        <v>7</v>
      </c>
      <c r="E18" s="297" t="s">
        <v>98</v>
      </c>
      <c r="F18" s="299">
        <v>50</v>
      </c>
      <c r="G18" s="298" t="s">
        <v>39</v>
      </c>
      <c r="H18" s="298">
        <v>0</v>
      </c>
      <c r="I18" s="139">
        <f t="shared" si="0"/>
        <v>50</v>
      </c>
      <c r="J18" s="140">
        <v>0.17</v>
      </c>
      <c r="K18" s="141">
        <f t="shared" si="1"/>
        <v>8.5</v>
      </c>
      <c r="L18" s="141">
        <f t="shared" si="2"/>
        <v>58.5</v>
      </c>
    </row>
    <row r="19" spans="2:12" ht="14.25">
      <c r="B19" s="136">
        <v>45772</v>
      </c>
      <c r="C19" s="137" t="s">
        <v>104</v>
      </c>
      <c r="D19" s="298">
        <v>8</v>
      </c>
      <c r="E19" s="297" t="s">
        <v>98</v>
      </c>
      <c r="F19" s="299">
        <v>194.87</v>
      </c>
      <c r="G19" s="298" t="s">
        <v>39</v>
      </c>
      <c r="H19" s="298">
        <v>0</v>
      </c>
      <c r="I19" s="139">
        <f t="shared" si="0"/>
        <v>194.87</v>
      </c>
      <c r="J19" s="140">
        <v>0.17</v>
      </c>
      <c r="K19" s="141">
        <f t="shared" si="1"/>
        <v>33.127900000000004</v>
      </c>
      <c r="L19" s="141">
        <f t="shared" si="2"/>
        <v>227.99790000000002</v>
      </c>
    </row>
    <row r="20" spans="2:12" ht="14.25">
      <c r="B20" s="136">
        <v>45778</v>
      </c>
      <c r="C20" s="137" t="s">
        <v>115</v>
      </c>
      <c r="D20" s="298">
        <v>9</v>
      </c>
      <c r="E20" s="297" t="s">
        <v>98</v>
      </c>
      <c r="F20" s="299">
        <v>119.66</v>
      </c>
      <c r="G20" s="298" t="s">
        <v>39</v>
      </c>
      <c r="H20" s="298">
        <v>0</v>
      </c>
      <c r="I20" s="139">
        <f t="shared" si="0"/>
        <v>119.66</v>
      </c>
      <c r="J20" s="140">
        <v>0.17</v>
      </c>
      <c r="K20" s="141">
        <f t="shared" si="1"/>
        <v>20.342200000000002</v>
      </c>
      <c r="L20" s="141">
        <f t="shared" si="2"/>
        <v>140.00219999999999</v>
      </c>
    </row>
    <row r="21" spans="2:12" ht="14.25">
      <c r="B21" s="136">
        <v>45803</v>
      </c>
      <c r="C21" s="137" t="s">
        <v>116</v>
      </c>
      <c r="D21" s="298">
        <v>10</v>
      </c>
      <c r="E21" s="297" t="s">
        <v>98</v>
      </c>
      <c r="F21" s="299">
        <v>512.82000000000005</v>
      </c>
      <c r="G21" s="298" t="s">
        <v>39</v>
      </c>
      <c r="H21" s="298">
        <v>0</v>
      </c>
      <c r="I21" s="139">
        <f t="shared" si="0"/>
        <v>512.82000000000005</v>
      </c>
      <c r="J21" s="140">
        <v>0.17</v>
      </c>
      <c r="K21" s="141">
        <f t="shared" si="1"/>
        <v>87.179400000000015</v>
      </c>
      <c r="L21" s="141">
        <f t="shared" si="2"/>
        <v>599.99940000000004</v>
      </c>
    </row>
    <row r="22" spans="2:12" ht="14.25">
      <c r="B22" s="136">
        <v>45786</v>
      </c>
      <c r="C22" s="137" t="s">
        <v>117</v>
      </c>
      <c r="D22" s="298">
        <v>11</v>
      </c>
      <c r="E22" s="297" t="s">
        <v>98</v>
      </c>
      <c r="F22" s="299">
        <v>190.78</v>
      </c>
      <c r="G22" s="298" t="s">
        <v>39</v>
      </c>
      <c r="H22" s="298">
        <v>0</v>
      </c>
      <c r="I22" s="139">
        <f t="shared" si="0"/>
        <v>190.78</v>
      </c>
      <c r="J22" s="140">
        <v>0.17</v>
      </c>
      <c r="K22" s="141">
        <f t="shared" si="1"/>
        <v>32.432600000000001</v>
      </c>
      <c r="L22" s="141">
        <f t="shared" si="2"/>
        <v>223.21260000000001</v>
      </c>
    </row>
    <row r="23" spans="2:12" ht="14.25">
      <c r="B23" s="136">
        <v>45791</v>
      </c>
      <c r="C23" s="137" t="s">
        <v>118</v>
      </c>
      <c r="D23" s="298">
        <v>12</v>
      </c>
      <c r="E23" s="297" t="s">
        <v>98</v>
      </c>
      <c r="F23" s="299">
        <v>11.11</v>
      </c>
      <c r="G23" s="298" t="s">
        <v>39</v>
      </c>
      <c r="H23" s="298">
        <v>0</v>
      </c>
      <c r="I23" s="139">
        <f t="shared" si="0"/>
        <v>11.11</v>
      </c>
      <c r="J23" s="140">
        <v>0.17</v>
      </c>
      <c r="K23" s="141">
        <f t="shared" si="1"/>
        <v>1.8887</v>
      </c>
      <c r="L23" s="141">
        <f t="shared" si="2"/>
        <v>12.998699999999999</v>
      </c>
    </row>
    <row r="24" spans="2:12" ht="14.25">
      <c r="B24" s="136">
        <v>45803</v>
      </c>
      <c r="C24" s="137" t="s">
        <v>119</v>
      </c>
      <c r="D24" s="298">
        <v>15</v>
      </c>
      <c r="E24" s="297" t="s">
        <v>98</v>
      </c>
      <c r="F24" s="299">
        <v>42.31</v>
      </c>
      <c r="G24" s="298" t="s">
        <v>39</v>
      </c>
      <c r="H24" s="298">
        <v>0</v>
      </c>
      <c r="I24" s="139">
        <f t="shared" si="0"/>
        <v>42.31</v>
      </c>
      <c r="J24" s="140">
        <v>0.17</v>
      </c>
      <c r="K24" s="141">
        <f t="shared" si="1"/>
        <v>7.1927000000000012</v>
      </c>
      <c r="L24" s="141">
        <f t="shared" si="2"/>
        <v>49.502700000000004</v>
      </c>
    </row>
    <row r="25" spans="2:12" ht="14.25">
      <c r="B25" s="136">
        <v>45803</v>
      </c>
      <c r="C25" s="137" t="s">
        <v>120</v>
      </c>
      <c r="D25" s="298">
        <v>16</v>
      </c>
      <c r="E25" s="297" t="s">
        <v>98</v>
      </c>
      <c r="F25" s="299">
        <v>12.82</v>
      </c>
      <c r="G25" s="298" t="s">
        <v>39</v>
      </c>
      <c r="H25" s="298">
        <v>0</v>
      </c>
      <c r="I25" s="139">
        <f t="shared" si="0"/>
        <v>12.82</v>
      </c>
      <c r="J25" s="140">
        <v>0.17</v>
      </c>
      <c r="K25" s="141">
        <f t="shared" si="1"/>
        <v>2.1794000000000002</v>
      </c>
      <c r="L25" s="141">
        <f t="shared" si="2"/>
        <v>14.999400000000001</v>
      </c>
    </row>
    <row r="26" spans="2:12" ht="14.25">
      <c r="B26" s="136">
        <v>45809</v>
      </c>
      <c r="C26" s="137" t="s">
        <v>124</v>
      </c>
      <c r="D26" s="298">
        <v>17</v>
      </c>
      <c r="E26" s="297" t="s">
        <v>98</v>
      </c>
      <c r="F26" s="299">
        <v>11.11</v>
      </c>
      <c r="G26" s="298" t="s">
        <v>39</v>
      </c>
      <c r="H26" s="298">
        <v>0</v>
      </c>
      <c r="I26" s="139">
        <f t="shared" si="0"/>
        <v>11.11</v>
      </c>
      <c r="J26" s="140">
        <v>0.17</v>
      </c>
      <c r="K26" s="141">
        <f t="shared" si="1"/>
        <v>1.8887</v>
      </c>
      <c r="L26" s="141">
        <f t="shared" si="2"/>
        <v>12.998699999999999</v>
      </c>
    </row>
    <row r="27" spans="2:12" ht="14.25">
      <c r="B27" s="136">
        <v>45813</v>
      </c>
      <c r="C27" s="137" t="s">
        <v>97</v>
      </c>
      <c r="D27" s="298">
        <v>18</v>
      </c>
      <c r="E27" s="297" t="s">
        <v>98</v>
      </c>
      <c r="F27" s="299">
        <v>29.91</v>
      </c>
      <c r="G27" s="298" t="s">
        <v>39</v>
      </c>
      <c r="H27" s="298">
        <v>0</v>
      </c>
      <c r="I27" s="139">
        <f t="shared" si="0"/>
        <v>29.91</v>
      </c>
      <c r="J27" s="140">
        <v>0.17</v>
      </c>
      <c r="K27" s="141">
        <f t="shared" si="1"/>
        <v>5.0847000000000007</v>
      </c>
      <c r="L27" s="141">
        <f t="shared" si="2"/>
        <v>34.994700000000002</v>
      </c>
    </row>
    <row r="28" spans="2:12" ht="14.25">
      <c r="B28" s="136">
        <v>45819</v>
      </c>
      <c r="C28" s="137" t="s">
        <v>116</v>
      </c>
      <c r="D28" s="298">
        <v>19</v>
      </c>
      <c r="E28" s="297" t="s">
        <v>98</v>
      </c>
      <c r="F28" s="299">
        <v>133</v>
      </c>
      <c r="G28" s="298" t="s">
        <v>39</v>
      </c>
      <c r="H28" s="298">
        <v>0</v>
      </c>
      <c r="I28" s="139">
        <f t="shared" si="0"/>
        <v>133</v>
      </c>
      <c r="J28" s="140">
        <v>0.17</v>
      </c>
      <c r="K28" s="141">
        <f t="shared" si="1"/>
        <v>22.610000000000003</v>
      </c>
      <c r="L28" s="141">
        <f t="shared" si="2"/>
        <v>155.61000000000001</v>
      </c>
    </row>
    <row r="29" spans="2:12" ht="14.25">
      <c r="B29" s="136">
        <v>45824</v>
      </c>
      <c r="C29" s="137" t="s">
        <v>125</v>
      </c>
      <c r="D29" s="298">
        <v>20</v>
      </c>
      <c r="E29" s="297" t="s">
        <v>98</v>
      </c>
      <c r="F29" s="299">
        <v>109.4</v>
      </c>
      <c r="G29" s="298" t="s">
        <v>39</v>
      </c>
      <c r="H29" s="298">
        <v>0</v>
      </c>
      <c r="I29" s="139">
        <f t="shared" si="0"/>
        <v>109.4</v>
      </c>
      <c r="J29" s="140">
        <v>0.17</v>
      </c>
      <c r="K29" s="141">
        <f t="shared" si="1"/>
        <v>18.598000000000003</v>
      </c>
      <c r="L29" s="141">
        <f t="shared" si="2"/>
        <v>127.998</v>
      </c>
    </row>
    <row r="30" spans="2:12" ht="14.25">
      <c r="B30" s="136">
        <v>45824</v>
      </c>
      <c r="C30" s="137" t="s">
        <v>100</v>
      </c>
      <c r="D30" s="298">
        <v>21</v>
      </c>
      <c r="E30" s="297" t="s">
        <v>98</v>
      </c>
      <c r="F30" s="299">
        <v>25.64</v>
      </c>
      <c r="G30" s="298" t="s">
        <v>39</v>
      </c>
      <c r="H30" s="298">
        <v>0</v>
      </c>
      <c r="I30" s="139">
        <f t="shared" si="0"/>
        <v>25.64</v>
      </c>
      <c r="J30" s="140">
        <v>0.17</v>
      </c>
      <c r="K30" s="141">
        <f t="shared" si="1"/>
        <v>4.3588000000000005</v>
      </c>
      <c r="L30" s="141">
        <f t="shared" si="2"/>
        <v>29.998800000000003</v>
      </c>
    </row>
    <row r="31" spans="2:12" ht="14.25">
      <c r="B31" s="136">
        <v>45824</v>
      </c>
      <c r="C31" s="137" t="s">
        <v>126</v>
      </c>
      <c r="D31" s="298">
        <v>22</v>
      </c>
      <c r="E31" s="297" t="s">
        <v>98</v>
      </c>
      <c r="F31" s="299">
        <v>17.09</v>
      </c>
      <c r="G31" s="298" t="s">
        <v>39</v>
      </c>
      <c r="H31" s="298">
        <v>0</v>
      </c>
      <c r="I31" s="139">
        <f t="shared" si="0"/>
        <v>17.09</v>
      </c>
      <c r="J31" s="140">
        <v>0.17</v>
      </c>
      <c r="K31" s="141">
        <f t="shared" si="1"/>
        <v>2.9053</v>
      </c>
      <c r="L31" s="141">
        <f t="shared" si="2"/>
        <v>19.9953</v>
      </c>
    </row>
    <row r="32" spans="2:12" ht="14.25">
      <c r="B32" s="136">
        <v>45824</v>
      </c>
      <c r="C32" s="137" t="s">
        <v>127</v>
      </c>
      <c r="D32" s="298">
        <v>23</v>
      </c>
      <c r="E32" s="297" t="s">
        <v>98</v>
      </c>
      <c r="F32" s="299">
        <v>124</v>
      </c>
      <c r="G32" s="298" t="s">
        <v>39</v>
      </c>
      <c r="H32" s="298">
        <v>0</v>
      </c>
      <c r="I32" s="139">
        <f t="shared" si="0"/>
        <v>124</v>
      </c>
      <c r="J32" s="140">
        <v>0.17</v>
      </c>
      <c r="K32" s="141">
        <f t="shared" si="1"/>
        <v>21.080000000000002</v>
      </c>
      <c r="L32" s="141">
        <f t="shared" si="2"/>
        <v>145.08000000000001</v>
      </c>
    </row>
    <row r="33" spans="2:12" ht="14.25">
      <c r="B33" s="136">
        <v>45851</v>
      </c>
      <c r="C33" s="137" t="s">
        <v>134</v>
      </c>
      <c r="D33" s="298">
        <v>24</v>
      </c>
      <c r="E33" s="297" t="s">
        <v>98</v>
      </c>
      <c r="F33" s="299">
        <v>85.47</v>
      </c>
      <c r="G33" s="298" t="s">
        <v>39</v>
      </c>
      <c r="H33" s="298">
        <v>0</v>
      </c>
      <c r="I33" s="139">
        <f t="shared" si="0"/>
        <v>85.47</v>
      </c>
      <c r="J33" s="140">
        <v>0.17</v>
      </c>
      <c r="K33" s="141">
        <f t="shared" si="1"/>
        <v>14.529900000000001</v>
      </c>
      <c r="L33" s="141">
        <f t="shared" si="2"/>
        <v>99.999899999999997</v>
      </c>
    </row>
    <row r="34" spans="2:12" ht="14.25">
      <c r="B34" s="136">
        <v>45860</v>
      </c>
      <c r="C34" s="137" t="s">
        <v>135</v>
      </c>
      <c r="D34" s="298">
        <v>25</v>
      </c>
      <c r="E34" s="297" t="s">
        <v>98</v>
      </c>
      <c r="F34" s="299">
        <v>11.97</v>
      </c>
      <c r="G34" s="298" t="s">
        <v>39</v>
      </c>
      <c r="H34" s="298">
        <v>0</v>
      </c>
      <c r="I34" s="139">
        <f t="shared" si="0"/>
        <v>11.97</v>
      </c>
      <c r="J34" s="140">
        <v>0.17</v>
      </c>
      <c r="K34" s="141">
        <f t="shared" si="1"/>
        <v>2.0349000000000004</v>
      </c>
      <c r="L34" s="141">
        <f t="shared" si="2"/>
        <v>14.004900000000001</v>
      </c>
    </row>
    <row r="35" spans="2:12" ht="14.25">
      <c r="B35" s="136">
        <v>45860</v>
      </c>
      <c r="C35" s="137" t="s">
        <v>136</v>
      </c>
      <c r="D35" s="298">
        <v>26</v>
      </c>
      <c r="E35" s="297" t="s">
        <v>98</v>
      </c>
      <c r="F35" s="299">
        <v>61.54</v>
      </c>
      <c r="G35" s="298" t="s">
        <v>39</v>
      </c>
      <c r="H35" s="298">
        <v>0</v>
      </c>
      <c r="I35" s="139">
        <f t="shared" si="0"/>
        <v>61.54</v>
      </c>
      <c r="J35" s="140">
        <v>0.17</v>
      </c>
      <c r="K35" s="141">
        <f t="shared" si="1"/>
        <v>10.4618</v>
      </c>
      <c r="L35" s="141">
        <f t="shared" si="2"/>
        <v>72.001800000000003</v>
      </c>
    </row>
    <row r="36" spans="2:12" ht="14.25">
      <c r="B36" s="136">
        <v>45861</v>
      </c>
      <c r="C36" s="137" t="s">
        <v>137</v>
      </c>
      <c r="D36" s="298">
        <v>27</v>
      </c>
      <c r="E36" s="297" t="s">
        <v>98</v>
      </c>
      <c r="F36" s="299">
        <v>59.83</v>
      </c>
      <c r="G36" s="298" t="s">
        <v>39</v>
      </c>
      <c r="H36" s="298">
        <v>0</v>
      </c>
      <c r="I36" s="139">
        <f t="shared" si="0"/>
        <v>59.83</v>
      </c>
      <c r="J36" s="140">
        <v>0.17</v>
      </c>
      <c r="K36" s="141">
        <f t="shared" si="1"/>
        <v>10.171100000000001</v>
      </c>
      <c r="L36" s="141">
        <f t="shared" si="2"/>
        <v>70.001099999999994</v>
      </c>
    </row>
    <row r="37" spans="2:12" ht="14.25">
      <c r="B37" s="136">
        <v>45912</v>
      </c>
      <c r="C37" s="137" t="s">
        <v>144</v>
      </c>
      <c r="D37" s="298">
        <v>29</v>
      </c>
      <c r="E37" s="297" t="s">
        <v>98</v>
      </c>
      <c r="F37" s="299">
        <v>21.37</v>
      </c>
      <c r="G37" s="298" t="s">
        <v>39</v>
      </c>
      <c r="H37" s="298">
        <v>0</v>
      </c>
      <c r="I37" s="139">
        <f t="shared" si="0"/>
        <v>21.37</v>
      </c>
      <c r="J37" s="140">
        <v>0.17</v>
      </c>
      <c r="K37" s="141">
        <f t="shared" si="1"/>
        <v>3.6329000000000002</v>
      </c>
      <c r="L37" s="141">
        <f t="shared" si="2"/>
        <v>25.0029</v>
      </c>
    </row>
    <row r="38" spans="2:12" ht="14.25">
      <c r="B38" s="136">
        <v>45912</v>
      </c>
      <c r="C38" s="137" t="s">
        <v>145</v>
      </c>
      <c r="D38" s="298">
        <v>28</v>
      </c>
      <c r="E38" s="297" t="s">
        <v>98</v>
      </c>
      <c r="F38" s="299">
        <v>256.41000000000003</v>
      </c>
      <c r="G38" s="298" t="s">
        <v>39</v>
      </c>
      <c r="H38" s="298">
        <v>0</v>
      </c>
      <c r="I38" s="139">
        <f t="shared" si="0"/>
        <v>256.41000000000003</v>
      </c>
      <c r="J38" s="140">
        <v>0.17</v>
      </c>
      <c r="K38" s="141">
        <f t="shared" si="1"/>
        <v>43.589700000000008</v>
      </c>
      <c r="L38" s="141">
        <f t="shared" si="2"/>
        <v>299.99970000000002</v>
      </c>
    </row>
    <row r="39" spans="2:12" ht="14.25">
      <c r="B39" s="136">
        <v>45921</v>
      </c>
      <c r="C39" s="137" t="s">
        <v>146</v>
      </c>
      <c r="D39" s="298">
        <v>30</v>
      </c>
      <c r="E39" s="297" t="s">
        <v>98</v>
      </c>
      <c r="F39" s="299">
        <v>1000</v>
      </c>
      <c r="G39" s="298" t="s">
        <v>39</v>
      </c>
      <c r="H39" s="298">
        <v>0</v>
      </c>
      <c r="I39" s="139">
        <f t="shared" si="0"/>
        <v>1000</v>
      </c>
      <c r="J39" s="140">
        <v>0.17</v>
      </c>
      <c r="K39" s="141">
        <f t="shared" si="1"/>
        <v>170</v>
      </c>
      <c r="L39" s="141">
        <f t="shared" si="2"/>
        <v>1170</v>
      </c>
    </row>
    <row r="40" spans="2:12" ht="14.25">
      <c r="B40" s="136">
        <v>45921</v>
      </c>
      <c r="C40" s="137" t="s">
        <v>147</v>
      </c>
      <c r="D40" s="298">
        <v>14</v>
      </c>
      <c r="E40" s="297" t="s">
        <v>98</v>
      </c>
      <c r="F40" s="299">
        <v>1000</v>
      </c>
      <c r="G40" s="298" t="s">
        <v>39</v>
      </c>
      <c r="H40" s="298">
        <v>0</v>
      </c>
      <c r="I40" s="139">
        <f t="shared" si="0"/>
        <v>1000</v>
      </c>
      <c r="J40" s="140">
        <v>0.17</v>
      </c>
      <c r="K40" s="141">
        <f t="shared" si="1"/>
        <v>170</v>
      </c>
      <c r="L40" s="141">
        <f t="shared" si="2"/>
        <v>1170</v>
      </c>
    </row>
    <row r="41" spans="2:12" ht="14.25">
      <c r="B41" s="136">
        <v>45924</v>
      </c>
      <c r="C41" s="137" t="s">
        <v>148</v>
      </c>
      <c r="D41" s="298">
        <v>32</v>
      </c>
      <c r="E41" s="297" t="s">
        <v>98</v>
      </c>
      <c r="F41" s="299">
        <v>66.67</v>
      </c>
      <c r="G41" s="298" t="s">
        <v>39</v>
      </c>
      <c r="H41" s="298">
        <v>0</v>
      </c>
      <c r="I41" s="139">
        <f t="shared" si="0"/>
        <v>66.67</v>
      </c>
      <c r="J41" s="140">
        <v>0.17</v>
      </c>
      <c r="K41" s="141">
        <f t="shared" si="1"/>
        <v>11.333900000000002</v>
      </c>
      <c r="L41" s="141">
        <f t="shared" si="2"/>
        <v>78.003900000000002</v>
      </c>
    </row>
    <row r="42" spans="2:12" ht="14.25">
      <c r="B42" s="136">
        <v>45924</v>
      </c>
      <c r="C42" s="137" t="s">
        <v>116</v>
      </c>
      <c r="D42" s="298">
        <v>33</v>
      </c>
      <c r="E42" s="297" t="s">
        <v>98</v>
      </c>
      <c r="F42" s="299">
        <v>49.4</v>
      </c>
      <c r="G42" s="298" t="s">
        <v>39</v>
      </c>
      <c r="H42" s="298">
        <v>0</v>
      </c>
      <c r="I42" s="139">
        <f t="shared" si="0"/>
        <v>49.4</v>
      </c>
      <c r="J42" s="140">
        <v>0.17</v>
      </c>
      <c r="K42" s="141">
        <f t="shared" si="1"/>
        <v>8.3979999999999997</v>
      </c>
      <c r="L42" s="141">
        <f t="shared" si="2"/>
        <v>57.798000000000002</v>
      </c>
    </row>
    <row r="43" spans="2:12" ht="14.25">
      <c r="B43" s="136">
        <v>45929</v>
      </c>
      <c r="C43" s="137" t="s">
        <v>149</v>
      </c>
      <c r="D43" s="298">
        <v>34</v>
      </c>
      <c r="E43" s="297" t="s">
        <v>98</v>
      </c>
      <c r="F43" s="299">
        <v>102.56</v>
      </c>
      <c r="G43" s="298" t="s">
        <v>39</v>
      </c>
      <c r="H43" s="298">
        <v>0</v>
      </c>
      <c r="I43" s="139">
        <f t="shared" si="0"/>
        <v>102.56</v>
      </c>
      <c r="J43" s="140">
        <v>0.17</v>
      </c>
      <c r="K43" s="141">
        <f t="shared" si="1"/>
        <v>17.435200000000002</v>
      </c>
      <c r="L43" s="141">
        <f t="shared" si="2"/>
        <v>119.99520000000001</v>
      </c>
    </row>
    <row r="44" spans="2:12" ht="14.25">
      <c r="B44" s="136">
        <v>45933</v>
      </c>
      <c r="C44" s="137" t="s">
        <v>118</v>
      </c>
      <c r="D44" s="298">
        <v>36</v>
      </c>
      <c r="E44" s="297" t="s">
        <v>98</v>
      </c>
      <c r="F44" s="299">
        <v>6.84</v>
      </c>
      <c r="G44" s="298" t="s">
        <v>39</v>
      </c>
      <c r="H44" s="298">
        <v>0</v>
      </c>
      <c r="I44" s="139">
        <f t="shared" si="0"/>
        <v>6.84</v>
      </c>
      <c r="J44" s="140">
        <v>0.17</v>
      </c>
      <c r="K44" s="141">
        <f t="shared" si="1"/>
        <v>1.1628000000000001</v>
      </c>
      <c r="L44" s="141">
        <f t="shared" si="2"/>
        <v>8.0028000000000006</v>
      </c>
    </row>
    <row r="45" spans="2:12" ht="14.25">
      <c r="B45" s="136">
        <v>45933</v>
      </c>
      <c r="C45" s="137" t="s">
        <v>151</v>
      </c>
      <c r="D45" s="298">
        <v>35</v>
      </c>
      <c r="E45" s="297" t="s">
        <v>98</v>
      </c>
      <c r="F45" s="299">
        <v>25.64</v>
      </c>
      <c r="G45" s="298" t="s">
        <v>39</v>
      </c>
      <c r="H45" s="298">
        <v>0</v>
      </c>
      <c r="I45" s="139">
        <f t="shared" si="0"/>
        <v>25.64</v>
      </c>
      <c r="J45" s="140">
        <v>0.17</v>
      </c>
      <c r="K45" s="141">
        <f t="shared" si="1"/>
        <v>4.3588000000000005</v>
      </c>
      <c r="L45" s="141">
        <f t="shared" si="2"/>
        <v>29.998800000000003</v>
      </c>
    </row>
    <row r="46" spans="2:12" ht="14.25">
      <c r="B46" s="136">
        <v>45934</v>
      </c>
      <c r="C46" s="137" t="s">
        <v>152</v>
      </c>
      <c r="D46" s="298">
        <v>37</v>
      </c>
      <c r="E46" s="297" t="s">
        <v>98</v>
      </c>
      <c r="F46" s="299">
        <v>69.23</v>
      </c>
      <c r="G46" s="298" t="s">
        <v>39</v>
      </c>
      <c r="H46" s="298">
        <v>0</v>
      </c>
      <c r="I46" s="139">
        <f t="shared" si="0"/>
        <v>69.23</v>
      </c>
      <c r="J46" s="140">
        <v>0.17</v>
      </c>
      <c r="K46" s="141">
        <f t="shared" si="1"/>
        <v>11.769100000000002</v>
      </c>
      <c r="L46" s="141">
        <f t="shared" si="2"/>
        <v>80.999099999999999</v>
      </c>
    </row>
    <row r="47" spans="2:12" ht="14.25">
      <c r="B47" s="136">
        <v>45936</v>
      </c>
      <c r="C47" s="137" t="s">
        <v>127</v>
      </c>
      <c r="D47" s="298">
        <v>38</v>
      </c>
      <c r="E47" s="297" t="s">
        <v>98</v>
      </c>
      <c r="F47" s="299">
        <v>994</v>
      </c>
      <c r="G47" s="298" t="s">
        <v>39</v>
      </c>
      <c r="H47" s="298">
        <v>0</v>
      </c>
      <c r="I47" s="139">
        <f t="shared" si="0"/>
        <v>994</v>
      </c>
      <c r="J47" s="140">
        <v>0.17</v>
      </c>
      <c r="K47" s="141">
        <f t="shared" si="1"/>
        <v>168.98000000000002</v>
      </c>
      <c r="L47" s="141">
        <f t="shared" si="2"/>
        <v>1162.98</v>
      </c>
    </row>
    <row r="48" spans="2:12" ht="14.25">
      <c r="B48" s="136">
        <v>45942</v>
      </c>
      <c r="C48" s="137" t="s">
        <v>116</v>
      </c>
      <c r="D48" s="298">
        <v>40</v>
      </c>
      <c r="E48" s="297" t="s">
        <v>98</v>
      </c>
      <c r="F48" s="299">
        <v>29.06</v>
      </c>
      <c r="G48" s="298" t="s">
        <v>39</v>
      </c>
      <c r="H48" s="298">
        <v>0</v>
      </c>
      <c r="I48" s="139">
        <f t="shared" si="0"/>
        <v>29.06</v>
      </c>
      <c r="J48" s="140">
        <v>0.17</v>
      </c>
      <c r="K48" s="141">
        <f t="shared" si="1"/>
        <v>4.9401999999999999</v>
      </c>
      <c r="L48" s="141">
        <f t="shared" si="2"/>
        <v>34.0002</v>
      </c>
    </row>
    <row r="49" spans="2:12" ht="14.25">
      <c r="B49" s="136" t="s">
        <v>153</v>
      </c>
      <c r="C49" s="137" t="s">
        <v>116</v>
      </c>
      <c r="D49" s="298">
        <v>39</v>
      </c>
      <c r="E49" s="297" t="s">
        <v>98</v>
      </c>
      <c r="F49" s="299">
        <v>26.15</v>
      </c>
      <c r="G49" s="298" t="s">
        <v>39</v>
      </c>
      <c r="H49" s="298">
        <v>0</v>
      </c>
      <c r="I49" s="139">
        <f t="shared" si="0"/>
        <v>26.15</v>
      </c>
      <c r="J49" s="140">
        <v>0.17</v>
      </c>
      <c r="K49" s="141">
        <f t="shared" si="1"/>
        <v>4.4455</v>
      </c>
      <c r="L49" s="141">
        <f t="shared" si="2"/>
        <v>30.595499999999998</v>
      </c>
    </row>
    <row r="50" spans="2:12" ht="14.25">
      <c r="B50" s="136">
        <v>45945</v>
      </c>
      <c r="C50" s="137" t="s">
        <v>154</v>
      </c>
      <c r="D50" s="298">
        <v>41</v>
      </c>
      <c r="E50" s="297" t="s">
        <v>98</v>
      </c>
      <c r="F50" s="299">
        <v>60</v>
      </c>
      <c r="G50" s="298" t="s">
        <v>39</v>
      </c>
      <c r="H50" s="298">
        <v>0</v>
      </c>
      <c r="I50" s="139">
        <f t="shared" si="0"/>
        <v>60</v>
      </c>
      <c r="J50" s="140">
        <v>0.17</v>
      </c>
      <c r="K50" s="141">
        <f t="shared" si="1"/>
        <v>10.200000000000001</v>
      </c>
      <c r="L50" s="141">
        <f t="shared" si="2"/>
        <v>70.2</v>
      </c>
    </row>
    <row r="51" spans="2:12" ht="14.25">
      <c r="B51" s="136">
        <v>45946</v>
      </c>
      <c r="C51" s="137" t="s">
        <v>155</v>
      </c>
      <c r="D51" s="298">
        <v>31</v>
      </c>
      <c r="E51" s="297" t="s">
        <v>98</v>
      </c>
      <c r="F51" s="299">
        <v>85</v>
      </c>
      <c r="G51" s="298" t="s">
        <v>39</v>
      </c>
      <c r="H51" s="298">
        <v>0</v>
      </c>
      <c r="I51" s="139">
        <f t="shared" si="0"/>
        <v>85</v>
      </c>
      <c r="J51" s="140">
        <v>0</v>
      </c>
      <c r="K51" s="141">
        <f t="shared" si="1"/>
        <v>0</v>
      </c>
      <c r="L51" s="141">
        <f t="shared" si="2"/>
        <v>85</v>
      </c>
    </row>
    <row r="52" spans="2:12" ht="14.25">
      <c r="B52" s="136">
        <v>45997</v>
      </c>
      <c r="C52" s="137" t="s">
        <v>160</v>
      </c>
      <c r="D52" s="298">
        <v>42</v>
      </c>
      <c r="E52" s="297" t="s">
        <v>98</v>
      </c>
      <c r="F52" s="299">
        <v>34.19</v>
      </c>
      <c r="G52" s="298" t="s">
        <v>39</v>
      </c>
      <c r="H52" s="298">
        <v>0</v>
      </c>
      <c r="I52" s="139">
        <f t="shared" si="0"/>
        <v>34.19</v>
      </c>
      <c r="J52" s="140">
        <v>0.17</v>
      </c>
      <c r="K52" s="141">
        <f t="shared" si="1"/>
        <v>5.8123000000000005</v>
      </c>
      <c r="L52" s="141">
        <f t="shared" si="2"/>
        <v>40.002299999999998</v>
      </c>
    </row>
    <row r="53" spans="2:12" ht="12.6" customHeight="1">
      <c r="B53" s="136">
        <v>46002</v>
      </c>
      <c r="C53" s="137" t="s">
        <v>161</v>
      </c>
      <c r="D53" s="298">
        <v>43</v>
      </c>
      <c r="E53" s="297" t="s">
        <v>98</v>
      </c>
      <c r="F53" s="299">
        <v>45.3</v>
      </c>
      <c r="G53" s="298" t="s">
        <v>39</v>
      </c>
      <c r="H53" s="298">
        <v>0</v>
      </c>
      <c r="I53" s="139">
        <f t="shared" si="0"/>
        <v>45.3</v>
      </c>
      <c r="J53" s="140">
        <v>0.17</v>
      </c>
      <c r="K53" s="141">
        <f t="shared" si="1"/>
        <v>7.7010000000000005</v>
      </c>
      <c r="L53" s="141">
        <f t="shared" si="2"/>
        <v>53.000999999999998</v>
      </c>
    </row>
    <row r="54" spans="2:12" ht="12.6" customHeight="1">
      <c r="B54" s="136">
        <v>46009</v>
      </c>
      <c r="C54" s="137" t="s">
        <v>162</v>
      </c>
      <c r="D54" s="298">
        <v>44</v>
      </c>
      <c r="E54" s="297" t="s">
        <v>98</v>
      </c>
      <c r="F54" s="299">
        <v>38.46</v>
      </c>
      <c r="G54" s="298" t="s">
        <v>39</v>
      </c>
      <c r="H54" s="298">
        <v>0</v>
      </c>
      <c r="I54" s="139">
        <f t="shared" si="0"/>
        <v>38.46</v>
      </c>
      <c r="J54" s="140">
        <v>0.17</v>
      </c>
      <c r="K54" s="141">
        <f t="shared" si="1"/>
        <v>6.5382000000000007</v>
      </c>
      <c r="L54" s="141">
        <f t="shared" si="2"/>
        <v>44.998200000000004</v>
      </c>
    </row>
    <row r="55" spans="2:12" ht="12.6" customHeight="1">
      <c r="B55" s="136">
        <v>46009</v>
      </c>
      <c r="C55" s="137" t="s">
        <v>163</v>
      </c>
      <c r="D55" s="298">
        <v>45</v>
      </c>
      <c r="E55" s="297" t="s">
        <v>98</v>
      </c>
      <c r="F55" s="299">
        <v>34.19</v>
      </c>
      <c r="G55" s="298" t="s">
        <v>39</v>
      </c>
      <c r="H55" s="298">
        <v>0</v>
      </c>
      <c r="I55" s="139">
        <f t="shared" si="0"/>
        <v>34.19</v>
      </c>
      <c r="J55" s="140">
        <v>0.17</v>
      </c>
      <c r="K55" s="141">
        <f t="shared" si="1"/>
        <v>5.8123000000000005</v>
      </c>
      <c r="L55" s="141">
        <f t="shared" si="2"/>
        <v>40.002299999999998</v>
      </c>
    </row>
    <row r="56" spans="2:12" ht="12.6" customHeight="1">
      <c r="B56" s="136">
        <v>46009</v>
      </c>
      <c r="C56" s="137" t="s">
        <v>164</v>
      </c>
      <c r="D56" s="298">
        <v>47</v>
      </c>
      <c r="E56" s="297" t="s">
        <v>98</v>
      </c>
      <c r="F56" s="299">
        <v>4.2699999999999996</v>
      </c>
      <c r="G56" s="298" t="s">
        <v>39</v>
      </c>
      <c r="H56" s="298">
        <v>0</v>
      </c>
      <c r="I56" s="139">
        <f t="shared" si="0"/>
        <v>4.2699999999999996</v>
      </c>
      <c r="J56" s="140">
        <v>0.17</v>
      </c>
      <c r="K56" s="141">
        <f t="shared" si="1"/>
        <v>0.72589999999999999</v>
      </c>
      <c r="L56" s="141">
        <f t="shared" si="2"/>
        <v>4.9958999999999998</v>
      </c>
    </row>
    <row r="57" spans="2:12" ht="12.6" customHeight="1">
      <c r="B57" s="136">
        <v>46011</v>
      </c>
      <c r="C57" s="137" t="s">
        <v>165</v>
      </c>
      <c r="D57" s="298">
        <v>46</v>
      </c>
      <c r="E57" s="297" t="s">
        <v>98</v>
      </c>
      <c r="F57" s="299">
        <v>34.19</v>
      </c>
      <c r="G57" s="298" t="s">
        <v>39</v>
      </c>
      <c r="H57" s="298">
        <v>0</v>
      </c>
      <c r="I57" s="139">
        <f t="shared" si="0"/>
        <v>34.19</v>
      </c>
      <c r="J57" s="140">
        <v>0.17</v>
      </c>
      <c r="K57" s="141">
        <f t="shared" si="1"/>
        <v>5.8123000000000005</v>
      </c>
      <c r="L57" s="141">
        <f t="shared" si="2"/>
        <v>40.002299999999998</v>
      </c>
    </row>
    <row r="58" spans="2:12" ht="12.6" customHeight="1">
      <c r="B58" s="136">
        <v>46014</v>
      </c>
      <c r="C58" s="137" t="s">
        <v>166</v>
      </c>
      <c r="D58" s="298">
        <v>48</v>
      </c>
      <c r="E58" s="297" t="s">
        <v>98</v>
      </c>
      <c r="F58" s="299">
        <v>480</v>
      </c>
      <c r="G58" s="298" t="s">
        <v>39</v>
      </c>
      <c r="H58" s="298">
        <v>0</v>
      </c>
      <c r="I58" s="139">
        <f t="shared" si="0"/>
        <v>480</v>
      </c>
      <c r="J58" s="140">
        <v>0.17</v>
      </c>
      <c r="K58" s="141">
        <f t="shared" si="1"/>
        <v>81.600000000000009</v>
      </c>
      <c r="L58" s="141">
        <f t="shared" si="2"/>
        <v>561.6</v>
      </c>
    </row>
    <row r="59" spans="2:12" ht="12.6" customHeight="1">
      <c r="B59" s="136"/>
      <c r="C59" s="137"/>
      <c r="D59" s="298">
        <v>1</v>
      </c>
      <c r="E59" s="297" t="s">
        <v>98</v>
      </c>
      <c r="F59" s="299"/>
      <c r="G59" s="298" t="s">
        <v>39</v>
      </c>
      <c r="H59" s="298">
        <v>0</v>
      </c>
      <c r="I59" s="139">
        <f t="shared" si="0"/>
        <v>0</v>
      </c>
      <c r="J59" s="140">
        <v>0.17</v>
      </c>
      <c r="K59" s="141">
        <f t="shared" si="1"/>
        <v>0</v>
      </c>
      <c r="L59" s="141">
        <f t="shared" si="2"/>
        <v>0</v>
      </c>
    </row>
    <row r="60" spans="2:12" ht="15" thickBot="1">
      <c r="B60" s="136"/>
      <c r="C60" s="137"/>
      <c r="D60" s="298">
        <v>1</v>
      </c>
      <c r="E60" s="297" t="s">
        <v>98</v>
      </c>
      <c r="F60" s="299"/>
      <c r="G60" s="298" t="s">
        <v>39</v>
      </c>
      <c r="H60" s="298">
        <v>0</v>
      </c>
      <c r="I60" s="139">
        <f t="shared" si="0"/>
        <v>0</v>
      </c>
      <c r="J60" s="140">
        <v>0.17</v>
      </c>
      <c r="K60" s="141">
        <f>+J60*I60</f>
        <v>0</v>
      </c>
      <c r="L60" s="141">
        <f t="shared" si="2"/>
        <v>0</v>
      </c>
    </row>
    <row r="61" spans="2:12" ht="15.75" thickBot="1">
      <c r="B61" s="136"/>
      <c r="C61" s="137"/>
      <c r="D61" s="298"/>
      <c r="E61" s="297"/>
      <c r="F61" s="133"/>
      <c r="G61" s="142"/>
      <c r="H61" s="135" t="s">
        <v>12</v>
      </c>
      <c r="I61" s="143">
        <f>SUM(I13:I60)</f>
        <v>6484.6299999999992</v>
      </c>
      <c r="J61" s="144"/>
      <c r="K61" s="143">
        <f>SUM(K13:K60)</f>
        <v>1087.9371000000001</v>
      </c>
      <c r="L61" s="143">
        <f>SUM(L13:L60)</f>
        <v>7572.567100000002</v>
      </c>
    </row>
    <row r="62" spans="2:12" ht="13.5" thickBot="1">
      <c r="B62" s="94"/>
      <c r="C62" s="94"/>
      <c r="D62" s="94"/>
      <c r="E62" s="94"/>
      <c r="F62" s="94"/>
      <c r="G62" s="94"/>
      <c r="H62" s="94"/>
      <c r="I62" s="96"/>
      <c r="J62" s="95"/>
      <c r="K62" s="96"/>
      <c r="L62" s="96"/>
    </row>
    <row r="63" spans="2:12" ht="15.75" thickBot="1">
      <c r="B63" s="94"/>
      <c r="C63" s="94"/>
      <c r="D63" s="94"/>
      <c r="E63" s="94"/>
      <c r="F63" s="94"/>
      <c r="G63" s="142"/>
      <c r="H63" s="135" t="s">
        <v>12</v>
      </c>
      <c r="I63" s="143">
        <f>SUM(I13:I60)</f>
        <v>6484.6299999999992</v>
      </c>
      <c r="J63" s="144"/>
      <c r="K63" s="143">
        <f>SUM(K13:K60)</f>
        <v>1087.9371000000001</v>
      </c>
      <c r="L63" s="145">
        <f>SUM(L13:L60)</f>
        <v>7572.567100000002</v>
      </c>
    </row>
    <row r="64" spans="2:12">
      <c r="B64" s="94"/>
      <c r="C64" s="94"/>
      <c r="D64" s="94"/>
      <c r="E64" s="94"/>
      <c r="F64" s="94"/>
      <c r="G64" s="94"/>
      <c r="H64" s="94"/>
      <c r="I64" s="96"/>
      <c r="J64" s="95"/>
      <c r="K64" s="96"/>
      <c r="L64" s="96"/>
    </row>
    <row r="65" spans="2:12">
      <c r="B65" s="94"/>
      <c r="C65" s="94"/>
      <c r="D65" s="94"/>
      <c r="E65" s="94"/>
      <c r="F65" s="94"/>
      <c r="G65" s="94"/>
      <c r="H65" s="94"/>
      <c r="I65" s="96"/>
      <c r="J65" s="95"/>
      <c r="K65" s="96"/>
      <c r="L65" s="96"/>
    </row>
    <row r="66" spans="2:12">
      <c r="B66" s="94"/>
      <c r="C66" s="94"/>
      <c r="D66" s="94"/>
      <c r="E66" s="94"/>
      <c r="F66" s="94"/>
      <c r="G66" s="94"/>
      <c r="H66" s="94"/>
      <c r="I66" s="96"/>
      <c r="J66" s="95"/>
      <c r="K66" s="96"/>
      <c r="L66" s="96"/>
    </row>
    <row r="67" spans="2:12">
      <c r="B67" s="94"/>
      <c r="C67" s="94"/>
      <c r="D67" s="94"/>
      <c r="E67" s="94"/>
      <c r="F67" s="94"/>
      <c r="G67" s="94"/>
      <c r="H67" s="94"/>
      <c r="I67" s="96"/>
      <c r="J67" s="95"/>
      <c r="K67" s="96"/>
      <c r="L67" s="96"/>
    </row>
    <row r="68" spans="2:12">
      <c r="B68" s="94"/>
      <c r="C68" s="94"/>
      <c r="D68" s="94"/>
      <c r="E68" s="94"/>
      <c r="F68" s="94"/>
      <c r="G68" s="94"/>
      <c r="H68" s="94"/>
      <c r="I68" s="96"/>
      <c r="J68" s="95"/>
      <c r="K68" s="96"/>
      <c r="L68" s="96"/>
    </row>
    <row r="70" spans="2:12">
      <c r="B70" s="94"/>
      <c r="C70" s="94"/>
      <c r="D70" s="94"/>
      <c r="E70" s="94"/>
      <c r="F70" s="94"/>
      <c r="G70" s="94"/>
      <c r="H70" s="94"/>
      <c r="I70" s="96"/>
      <c r="J70" s="95"/>
      <c r="K70" s="96"/>
      <c r="L70" s="96"/>
    </row>
    <row r="71" spans="2:12">
      <c r="B71" s="94"/>
      <c r="C71" s="94"/>
      <c r="D71" s="94"/>
      <c r="E71" s="94"/>
      <c r="F71" s="94"/>
      <c r="G71" s="94"/>
      <c r="H71" s="94"/>
      <c r="I71" s="96"/>
      <c r="J71" s="95"/>
      <c r="K71" s="96"/>
      <c r="L71" s="96"/>
    </row>
    <row r="72" spans="2:12">
      <c r="B72" s="94"/>
      <c r="C72" s="94"/>
      <c r="D72" s="94"/>
      <c r="E72" s="94"/>
      <c r="F72" s="94"/>
      <c r="G72" s="94"/>
      <c r="H72" s="94"/>
      <c r="I72" s="96"/>
      <c r="J72" s="95"/>
      <c r="K72" s="96"/>
      <c r="L72" s="96"/>
    </row>
    <row r="73" spans="2:12">
      <c r="B73" s="94"/>
      <c r="C73" s="94"/>
      <c r="D73" s="94"/>
      <c r="E73" s="94"/>
      <c r="F73" s="94"/>
      <c r="G73" s="94"/>
      <c r="H73" s="94"/>
      <c r="I73" s="96"/>
      <c r="J73" s="95"/>
      <c r="K73" s="96"/>
      <c r="L73" s="96"/>
    </row>
  </sheetData>
  <mergeCells count="3">
    <mergeCell ref="B6:L6"/>
    <mergeCell ref="B8:L8"/>
    <mergeCell ref="O5:Q6"/>
  </mergeCells>
  <printOptions horizontalCentered="1" gridLinesSet="0"/>
  <pageMargins left="0.70866141732283472" right="0.70866141732283472" top="0.74803149606299213" bottom="0.74803149606299213" header="0.31496062992125984" footer="0.31496062992125984"/>
  <pageSetup paperSize="9" scale="39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4950-8E97-4B03-B533-4A4AAD28D5CD}">
  <sheetPr>
    <tabColor theme="3" tint="0.39997558519241921"/>
    <pageSetUpPr fitToPage="1"/>
  </sheetPr>
  <dimension ref="A1:IV35"/>
  <sheetViews>
    <sheetView showGridLines="0" view="pageBreakPreview" topLeftCell="A16" zoomScaleNormal="66" zoomScaleSheetLayoutView="100" workbookViewId="0">
      <selection activeCell="B1" sqref="B1:B4"/>
    </sheetView>
  </sheetViews>
  <sheetFormatPr baseColWidth="10" defaultColWidth="9.140625" defaultRowHeight="14.25" outlineLevelRow="1"/>
  <cols>
    <col min="1" max="1" width="2.85546875" style="14" customWidth="1"/>
    <col min="2" max="2" width="13.42578125" style="19" customWidth="1"/>
    <col min="3" max="3" width="16.140625" style="19" customWidth="1"/>
    <col min="4" max="4" width="15.42578125" style="289" bestFit="1" customWidth="1"/>
    <col min="5" max="5" width="26.28515625" style="19" customWidth="1"/>
    <col min="6" max="6" width="9.85546875" style="19" bestFit="1" customWidth="1"/>
    <col min="7" max="7" width="20.5703125" style="19" customWidth="1"/>
    <col min="8" max="8" width="16.5703125" style="36" customWidth="1"/>
    <col min="9" max="9" width="17" style="19" customWidth="1"/>
    <col min="10" max="10" width="12.42578125" style="19" customWidth="1"/>
    <col min="11" max="11" width="14.85546875" style="250" bestFit="1" customWidth="1"/>
    <col min="12" max="12" width="2.85546875" style="14" customWidth="1"/>
    <col min="13" max="16384" width="9.140625" style="19"/>
  </cols>
  <sheetData>
    <row r="1" spans="1:256" ht="15">
      <c r="A1" s="12"/>
      <c r="B1" s="117" t="str">
        <f>+Achats_LUX!B1</f>
        <v>Carla_________</v>
      </c>
      <c r="D1" s="19"/>
      <c r="H1" s="19"/>
      <c r="J1" s="20"/>
      <c r="K1" s="20" t="s">
        <v>41</v>
      </c>
      <c r="L1" s="12"/>
    </row>
    <row r="2" spans="1:256">
      <c r="A2" s="12"/>
      <c r="B2" s="117" t="s">
        <v>46</v>
      </c>
      <c r="D2" s="19"/>
      <c r="H2" s="19"/>
      <c r="L2" s="12"/>
    </row>
    <row r="3" spans="1:256" ht="15">
      <c r="A3" s="12"/>
      <c r="B3" s="117">
        <v>0</v>
      </c>
      <c r="C3" s="22"/>
      <c r="D3" s="19"/>
      <c r="E3" s="22"/>
      <c r="F3" s="22"/>
      <c r="G3" s="22"/>
      <c r="H3" s="22"/>
      <c r="I3" s="22"/>
      <c r="L3" s="12"/>
    </row>
    <row r="4" spans="1:256" s="14" customFormat="1">
      <c r="A4" s="12"/>
      <c r="B4" s="117" t="s">
        <v>45</v>
      </c>
      <c r="D4" s="13"/>
      <c r="G4" s="13"/>
      <c r="H4" s="13"/>
      <c r="I4" s="13"/>
      <c r="K4" s="250"/>
      <c r="L4" s="12"/>
    </row>
    <row r="5" spans="1:256" s="14" customFormat="1">
      <c r="A5" s="12"/>
      <c r="D5" s="13"/>
      <c r="G5" s="13"/>
      <c r="H5" s="13"/>
      <c r="I5" s="13"/>
      <c r="K5" s="250"/>
      <c r="L5" s="12"/>
    </row>
    <row r="6" spans="1:256" s="69" customFormat="1" ht="15.75">
      <c r="A6" s="66"/>
      <c r="B6" s="306" t="s">
        <v>73</v>
      </c>
      <c r="C6" s="306"/>
      <c r="D6" s="306"/>
      <c r="E6" s="306"/>
      <c r="F6" s="306"/>
      <c r="G6" s="306"/>
      <c r="H6" s="306"/>
      <c r="I6" s="306"/>
      <c r="J6" s="306"/>
      <c r="K6" s="306"/>
      <c r="L6" s="66"/>
    </row>
    <row r="7" spans="1:256" s="252" customFormat="1" ht="15.75">
      <c r="A7" s="66"/>
      <c r="B7" s="251"/>
      <c r="K7" s="253"/>
      <c r="L7" s="66"/>
    </row>
    <row r="8" spans="1:256" s="252" customFormat="1" ht="15.75">
      <c r="A8" s="66"/>
      <c r="B8" s="312"/>
      <c r="C8" s="312"/>
      <c r="D8" s="312"/>
      <c r="E8" s="312"/>
      <c r="F8" s="312"/>
      <c r="G8" s="312"/>
      <c r="H8" s="312"/>
      <c r="I8" s="312"/>
      <c r="J8" s="312"/>
      <c r="K8" s="312"/>
      <c r="L8" s="66"/>
    </row>
    <row r="9" spans="1:256" s="252" customFormat="1" ht="15.75">
      <c r="A9" s="66"/>
      <c r="B9" s="254"/>
      <c r="C9" s="254"/>
      <c r="L9" s="66"/>
    </row>
    <row r="10" spans="1:256" s="14" customFormat="1">
      <c r="A10" s="12"/>
      <c r="G10" s="13"/>
      <c r="K10" s="250"/>
      <c r="L10" s="12"/>
    </row>
    <row r="11" spans="1:256" s="14" customFormat="1" ht="15">
      <c r="A11" s="12"/>
      <c r="B11" s="30" t="s">
        <v>74</v>
      </c>
      <c r="G11" s="13"/>
      <c r="K11" s="250"/>
      <c r="L11" s="12"/>
    </row>
    <row r="12" spans="1:256" s="14" customFormat="1" ht="15">
      <c r="A12" s="12"/>
      <c r="B12" s="30"/>
      <c r="G12" s="13"/>
      <c r="K12" s="250"/>
      <c r="L12" s="12"/>
    </row>
    <row r="13" spans="1:256" s="37" customFormat="1" ht="39.950000000000003" customHeight="1">
      <c r="B13" s="27" t="s">
        <v>0</v>
      </c>
      <c r="C13" s="28" t="s">
        <v>7</v>
      </c>
      <c r="D13" s="27" t="s">
        <v>4</v>
      </c>
      <c r="E13" s="28" t="s">
        <v>72</v>
      </c>
      <c r="F13" s="28" t="s">
        <v>2</v>
      </c>
      <c r="G13" s="28" t="s">
        <v>75</v>
      </c>
      <c r="H13" s="17" t="s">
        <v>76</v>
      </c>
      <c r="I13" s="27" t="s">
        <v>1</v>
      </c>
      <c r="J13" s="27" t="s">
        <v>5</v>
      </c>
      <c r="K13" s="18" t="s">
        <v>77</v>
      </c>
    </row>
    <row r="14" spans="1:256" s="37" customFormat="1" ht="15">
      <c r="A14" s="255"/>
      <c r="B14" s="256"/>
      <c r="C14" s="257"/>
      <c r="D14" s="258"/>
      <c r="E14" s="259"/>
      <c r="F14" s="259"/>
      <c r="G14" s="260"/>
      <c r="H14" s="261"/>
      <c r="I14" s="261"/>
      <c r="J14" s="262"/>
      <c r="K14" s="255"/>
      <c r="L14" s="256"/>
      <c r="AV14" s="261"/>
      <c r="AW14" s="261"/>
      <c r="AX14" s="262"/>
      <c r="AY14" s="255"/>
      <c r="AZ14" s="256"/>
      <c r="BA14" s="257"/>
      <c r="BB14" s="258"/>
      <c r="BC14" s="259"/>
      <c r="BD14" s="259"/>
      <c r="BE14" s="260"/>
      <c r="BF14" s="261"/>
      <c r="BG14" s="261"/>
      <c r="BH14" s="262"/>
      <c r="BI14" s="255"/>
      <c r="BJ14" s="256"/>
      <c r="BK14" s="257"/>
      <c r="BL14" s="258"/>
      <c r="BM14" s="259"/>
      <c r="BN14" s="259"/>
      <c r="BO14" s="260"/>
      <c r="BP14" s="261"/>
      <c r="BQ14" s="261"/>
      <c r="BR14" s="262"/>
      <c r="BS14" s="255"/>
      <c r="BT14" s="256"/>
      <c r="BU14" s="257"/>
      <c r="BV14" s="258"/>
      <c r="BW14" s="259"/>
      <c r="BX14" s="259"/>
      <c r="BY14" s="260"/>
      <c r="BZ14" s="261"/>
      <c r="CA14" s="261"/>
      <c r="CB14" s="262"/>
      <c r="CC14" s="255"/>
      <c r="CD14" s="256"/>
      <c r="CE14" s="257"/>
      <c r="CF14" s="258"/>
      <c r="CG14" s="259"/>
      <c r="CH14" s="259"/>
      <c r="CI14" s="260"/>
      <c r="CJ14" s="261"/>
      <c r="CK14" s="261"/>
      <c r="CL14" s="262"/>
      <c r="CM14" s="255"/>
      <c r="CN14" s="256"/>
      <c r="CO14" s="257"/>
      <c r="CP14" s="258"/>
      <c r="CQ14" s="259"/>
      <c r="CR14" s="259"/>
      <c r="CS14" s="260"/>
      <c r="CT14" s="261"/>
      <c r="CU14" s="261"/>
      <c r="CV14" s="262"/>
      <c r="CW14" s="255"/>
      <c r="CX14" s="256"/>
      <c r="CY14" s="257"/>
      <c r="CZ14" s="258"/>
      <c r="DA14" s="259"/>
      <c r="DB14" s="259"/>
      <c r="DC14" s="260"/>
      <c r="DD14" s="261"/>
      <c r="DE14" s="261"/>
      <c r="DF14" s="262"/>
      <c r="DG14" s="255"/>
      <c r="DH14" s="256"/>
      <c r="DI14" s="257"/>
      <c r="DJ14" s="258"/>
      <c r="DK14" s="259"/>
      <c r="DL14" s="259"/>
      <c r="DM14" s="260"/>
      <c r="DN14" s="261"/>
      <c r="DO14" s="261"/>
      <c r="DP14" s="262"/>
      <c r="DQ14" s="255"/>
      <c r="DR14" s="256"/>
      <c r="DS14" s="257"/>
      <c r="DT14" s="258"/>
      <c r="DU14" s="259"/>
      <c r="DV14" s="259"/>
      <c r="DW14" s="260"/>
      <c r="DX14" s="261"/>
      <c r="DY14" s="261"/>
      <c r="DZ14" s="262"/>
      <c r="EA14" s="255"/>
      <c r="EB14" s="256"/>
      <c r="EC14" s="257"/>
      <c r="ED14" s="258"/>
      <c r="EE14" s="259"/>
      <c r="EF14" s="259"/>
      <c r="EG14" s="260"/>
      <c r="EH14" s="261"/>
      <c r="EI14" s="261"/>
      <c r="EJ14" s="262"/>
      <c r="EK14" s="255"/>
      <c r="EL14" s="256"/>
      <c r="EM14" s="257"/>
      <c r="EN14" s="258"/>
      <c r="EO14" s="259"/>
      <c r="EP14" s="259"/>
      <c r="EQ14" s="260"/>
      <c r="ER14" s="261"/>
      <c r="ES14" s="261"/>
      <c r="ET14" s="262"/>
      <c r="EU14" s="255"/>
      <c r="EV14" s="256"/>
      <c r="EW14" s="257"/>
      <c r="EX14" s="258"/>
      <c r="EY14" s="259"/>
      <c r="EZ14" s="259"/>
      <c r="FA14" s="260"/>
      <c r="FB14" s="261"/>
      <c r="FC14" s="261"/>
      <c r="FD14" s="262"/>
      <c r="FE14" s="255"/>
      <c r="FF14" s="256"/>
      <c r="FG14" s="257"/>
      <c r="FH14" s="258"/>
      <c r="FI14" s="259"/>
      <c r="FJ14" s="259"/>
      <c r="FK14" s="260"/>
      <c r="FL14" s="261"/>
      <c r="FM14" s="261"/>
      <c r="FN14" s="262"/>
      <c r="FO14" s="255"/>
      <c r="FP14" s="256"/>
      <c r="FQ14" s="257"/>
      <c r="FR14" s="258"/>
      <c r="FS14" s="259"/>
      <c r="FT14" s="259"/>
      <c r="FU14" s="260"/>
      <c r="FV14" s="261"/>
      <c r="FW14" s="261"/>
      <c r="FX14" s="262"/>
      <c r="FY14" s="255"/>
      <c r="FZ14" s="256"/>
      <c r="GA14" s="257"/>
      <c r="GB14" s="258"/>
      <c r="GC14" s="259"/>
      <c r="GD14" s="259"/>
      <c r="GE14" s="260"/>
      <c r="GF14" s="261"/>
      <c r="GG14" s="261"/>
      <c r="GH14" s="262"/>
      <c r="GI14" s="255"/>
      <c r="GJ14" s="256"/>
      <c r="GK14" s="257"/>
      <c r="GL14" s="258"/>
      <c r="GM14" s="259"/>
      <c r="GN14" s="259"/>
      <c r="GO14" s="260"/>
      <c r="GP14" s="261"/>
      <c r="GQ14" s="261"/>
      <c r="GR14" s="262"/>
      <c r="GS14" s="255"/>
      <c r="GT14" s="256"/>
      <c r="GU14" s="257"/>
      <c r="GV14" s="258"/>
      <c r="GW14" s="259"/>
      <c r="GX14" s="259"/>
      <c r="GY14" s="260"/>
      <c r="GZ14" s="261"/>
      <c r="HA14" s="261"/>
      <c r="HB14" s="262"/>
      <c r="HC14" s="255"/>
      <c r="HD14" s="256"/>
      <c r="HE14" s="257"/>
      <c r="HF14" s="258"/>
      <c r="HG14" s="259"/>
      <c r="HH14" s="259"/>
      <c r="HI14" s="260"/>
      <c r="HJ14" s="261"/>
      <c r="HK14" s="261"/>
      <c r="HL14" s="262"/>
      <c r="HM14" s="255"/>
      <c r="HN14" s="256"/>
      <c r="HO14" s="257"/>
      <c r="HP14" s="258"/>
      <c r="HQ14" s="259"/>
      <c r="HR14" s="259"/>
      <c r="HS14" s="260"/>
      <c r="HT14" s="261"/>
      <c r="HU14" s="261"/>
      <c r="HV14" s="262"/>
      <c r="HW14" s="255"/>
      <c r="HX14" s="256"/>
      <c r="HY14" s="257"/>
      <c r="HZ14" s="258"/>
      <c r="IA14" s="259"/>
      <c r="IB14" s="259"/>
      <c r="IC14" s="260"/>
      <c r="ID14" s="261"/>
      <c r="IE14" s="261"/>
      <c r="IF14" s="262"/>
      <c r="IG14" s="255"/>
      <c r="IH14" s="256"/>
      <c r="II14" s="257"/>
      <c r="IJ14" s="258"/>
      <c r="IK14" s="259"/>
      <c r="IL14" s="259"/>
      <c r="IM14" s="260"/>
      <c r="IN14" s="261"/>
      <c r="IO14" s="261"/>
      <c r="IP14" s="262"/>
      <c r="IQ14" s="255"/>
      <c r="IR14" s="256"/>
      <c r="IS14" s="257"/>
      <c r="IT14" s="258"/>
      <c r="IU14" s="259"/>
      <c r="IV14" s="259"/>
    </row>
    <row r="15" spans="1:256" s="37" customFormat="1">
      <c r="A15" s="231"/>
      <c r="B15" s="263"/>
      <c r="C15" s="233"/>
      <c r="D15" s="264"/>
      <c r="E15" s="233"/>
      <c r="F15" s="264"/>
      <c r="G15" s="265"/>
      <c r="H15" s="264"/>
      <c r="I15" s="266"/>
      <c r="J15" s="265"/>
      <c r="K15" s="231"/>
      <c r="L15" s="263"/>
      <c r="AV15" s="264"/>
      <c r="AW15" s="266"/>
      <c r="AX15" s="265"/>
      <c r="AY15" s="231"/>
      <c r="AZ15" s="263"/>
      <c r="BA15" s="233"/>
      <c r="BB15" s="264"/>
      <c r="BC15" s="233"/>
      <c r="BD15" s="264"/>
      <c r="BE15" s="265"/>
      <c r="BF15" s="264"/>
      <c r="BG15" s="266"/>
      <c r="BH15" s="265"/>
      <c r="BI15" s="231"/>
      <c r="BJ15" s="263"/>
      <c r="BK15" s="233"/>
      <c r="BL15" s="264"/>
      <c r="BM15" s="233"/>
      <c r="BN15" s="264"/>
      <c r="BO15" s="265"/>
      <c r="BP15" s="264"/>
      <c r="BQ15" s="266"/>
      <c r="BR15" s="265"/>
      <c r="BS15" s="231"/>
      <c r="BT15" s="263"/>
      <c r="BU15" s="233"/>
      <c r="BV15" s="264"/>
      <c r="BW15" s="233"/>
      <c r="BX15" s="264"/>
      <c r="BY15" s="265"/>
      <c r="BZ15" s="264"/>
      <c r="CA15" s="266"/>
      <c r="CB15" s="265"/>
      <c r="CC15" s="231"/>
      <c r="CD15" s="263"/>
      <c r="CE15" s="233"/>
      <c r="CF15" s="264"/>
      <c r="CG15" s="233"/>
      <c r="CH15" s="264"/>
      <c r="CI15" s="265"/>
      <c r="CJ15" s="264"/>
      <c r="CK15" s="266"/>
      <c r="CL15" s="265"/>
      <c r="CM15" s="231"/>
      <c r="CN15" s="263"/>
      <c r="CO15" s="233"/>
      <c r="CP15" s="264"/>
      <c r="CQ15" s="233"/>
      <c r="CR15" s="264"/>
      <c r="CS15" s="265"/>
      <c r="CT15" s="264"/>
      <c r="CU15" s="266"/>
      <c r="CV15" s="265"/>
      <c r="CW15" s="231"/>
      <c r="CX15" s="263"/>
      <c r="CY15" s="233"/>
      <c r="CZ15" s="264"/>
      <c r="DA15" s="233"/>
      <c r="DB15" s="264"/>
      <c r="DC15" s="265"/>
      <c r="DD15" s="264"/>
      <c r="DE15" s="266"/>
      <c r="DF15" s="265"/>
      <c r="DG15" s="231"/>
      <c r="DH15" s="263"/>
      <c r="DI15" s="233"/>
      <c r="DJ15" s="264"/>
      <c r="DK15" s="233"/>
      <c r="DL15" s="264"/>
      <c r="DM15" s="265"/>
      <c r="DN15" s="264"/>
      <c r="DO15" s="266"/>
      <c r="DP15" s="265"/>
      <c r="DQ15" s="231"/>
      <c r="DR15" s="263"/>
      <c r="DS15" s="233"/>
      <c r="DT15" s="264"/>
      <c r="DU15" s="233"/>
      <c r="DV15" s="264"/>
      <c r="DW15" s="265"/>
      <c r="DX15" s="264"/>
      <c r="DY15" s="266"/>
      <c r="DZ15" s="265"/>
      <c r="EA15" s="231"/>
      <c r="EB15" s="263"/>
      <c r="EC15" s="233"/>
      <c r="ED15" s="264"/>
      <c r="EE15" s="233"/>
      <c r="EF15" s="264"/>
      <c r="EG15" s="265"/>
      <c r="EH15" s="264"/>
      <c r="EI15" s="266"/>
      <c r="EJ15" s="265"/>
      <c r="EK15" s="231"/>
      <c r="EL15" s="263"/>
      <c r="EM15" s="233"/>
      <c r="EN15" s="264"/>
      <c r="EO15" s="233"/>
      <c r="EP15" s="264"/>
      <c r="EQ15" s="265"/>
      <c r="ER15" s="264"/>
      <c r="ES15" s="266"/>
      <c r="ET15" s="265"/>
      <c r="EU15" s="231"/>
      <c r="EV15" s="263"/>
      <c r="EW15" s="233"/>
      <c r="EX15" s="264"/>
      <c r="EY15" s="233"/>
      <c r="EZ15" s="264"/>
      <c r="FA15" s="265"/>
      <c r="FB15" s="264"/>
      <c r="FC15" s="266"/>
      <c r="FD15" s="265"/>
      <c r="FE15" s="231"/>
      <c r="FF15" s="263"/>
      <c r="FG15" s="233"/>
      <c r="FH15" s="264"/>
      <c r="FI15" s="233"/>
      <c r="FJ15" s="264"/>
      <c r="FK15" s="265"/>
      <c r="FL15" s="264"/>
      <c r="FM15" s="266"/>
      <c r="FN15" s="265"/>
      <c r="FO15" s="231"/>
      <c r="FP15" s="263"/>
      <c r="FQ15" s="233"/>
      <c r="FR15" s="264"/>
      <c r="FS15" s="233"/>
      <c r="FT15" s="264"/>
      <c r="FU15" s="265"/>
      <c r="FV15" s="264"/>
      <c r="FW15" s="266"/>
      <c r="FX15" s="265"/>
      <c r="FY15" s="231"/>
      <c r="FZ15" s="263"/>
      <c r="GA15" s="233"/>
      <c r="GB15" s="264"/>
      <c r="GC15" s="233"/>
      <c r="GD15" s="264"/>
      <c r="GE15" s="265"/>
      <c r="GF15" s="264"/>
      <c r="GG15" s="266"/>
      <c r="GH15" s="265"/>
      <c r="GI15" s="231"/>
      <c r="GJ15" s="263"/>
      <c r="GK15" s="233"/>
      <c r="GL15" s="264"/>
      <c r="GM15" s="233"/>
      <c r="GN15" s="264"/>
      <c r="GO15" s="265"/>
      <c r="GP15" s="264"/>
      <c r="GQ15" s="266"/>
      <c r="GR15" s="265"/>
      <c r="GS15" s="231"/>
      <c r="GT15" s="263"/>
      <c r="GU15" s="233"/>
      <c r="GV15" s="264"/>
      <c r="GW15" s="233"/>
      <c r="GX15" s="264"/>
      <c r="GY15" s="265"/>
      <c r="GZ15" s="264"/>
      <c r="HA15" s="266"/>
      <c r="HB15" s="265"/>
      <c r="HC15" s="231"/>
      <c r="HD15" s="263"/>
      <c r="HE15" s="233"/>
      <c r="HF15" s="264"/>
      <c r="HG15" s="233"/>
      <c r="HH15" s="264"/>
      <c r="HI15" s="265"/>
      <c r="HJ15" s="264"/>
      <c r="HK15" s="266"/>
      <c r="HL15" s="265"/>
      <c r="HM15" s="231"/>
      <c r="HN15" s="263"/>
      <c r="HO15" s="233"/>
      <c r="HP15" s="264"/>
      <c r="HQ15" s="233"/>
      <c r="HR15" s="264"/>
      <c r="HS15" s="265"/>
      <c r="HT15" s="264"/>
      <c r="HU15" s="266"/>
      <c r="HV15" s="265"/>
      <c r="HW15" s="231"/>
      <c r="HX15" s="263"/>
      <c r="HY15" s="233"/>
      <c r="HZ15" s="264"/>
      <c r="IA15" s="233"/>
      <c r="IB15" s="264"/>
      <c r="IC15" s="265"/>
      <c r="ID15" s="264"/>
      <c r="IE15" s="266"/>
      <c r="IF15" s="265"/>
      <c r="IG15" s="231"/>
      <c r="IH15" s="263"/>
      <c r="II15" s="233"/>
      <c r="IJ15" s="264"/>
      <c r="IK15" s="233"/>
      <c r="IL15" s="264"/>
      <c r="IM15" s="265"/>
      <c r="IN15" s="264"/>
      <c r="IO15" s="266"/>
      <c r="IP15" s="265"/>
      <c r="IQ15" s="231"/>
      <c r="IR15" s="263"/>
      <c r="IS15" s="233"/>
      <c r="IT15" s="264"/>
      <c r="IU15" s="233"/>
      <c r="IV15" s="264"/>
    </row>
    <row r="16" spans="1:256" s="37" customFormat="1" ht="15">
      <c r="A16" s="267"/>
      <c r="B16" s="268"/>
      <c r="C16" s="269"/>
      <c r="D16" s="270"/>
      <c r="E16" s="270"/>
      <c r="F16" s="271"/>
      <c r="G16" s="272"/>
      <c r="H16" s="270"/>
      <c r="I16" s="273"/>
      <c r="J16" s="274"/>
      <c r="K16" s="267"/>
      <c r="L16" s="268"/>
      <c r="AV16" s="270"/>
      <c r="AW16" s="273"/>
      <c r="AX16" s="274"/>
      <c r="AY16" s="267"/>
      <c r="AZ16" s="268"/>
      <c r="BA16" s="269"/>
      <c r="BB16" s="270"/>
      <c r="BC16" s="270"/>
      <c r="BD16" s="271"/>
      <c r="BE16" s="272"/>
      <c r="BF16" s="270"/>
      <c r="BG16" s="273"/>
      <c r="BH16" s="274"/>
      <c r="BI16" s="267"/>
      <c r="BJ16" s="268"/>
      <c r="BK16" s="269"/>
      <c r="BL16" s="270"/>
      <c r="BM16" s="270"/>
      <c r="BN16" s="271"/>
      <c r="BO16" s="272"/>
      <c r="BP16" s="270"/>
      <c r="BQ16" s="273"/>
      <c r="BR16" s="274"/>
      <c r="BS16" s="267"/>
      <c r="BT16" s="268"/>
      <c r="BU16" s="269"/>
      <c r="BV16" s="270"/>
      <c r="BW16" s="270"/>
      <c r="BX16" s="271"/>
      <c r="BY16" s="272"/>
      <c r="BZ16" s="270"/>
      <c r="CA16" s="273"/>
      <c r="CB16" s="274"/>
      <c r="CC16" s="267"/>
      <c r="CD16" s="268"/>
      <c r="CE16" s="269"/>
      <c r="CF16" s="270"/>
      <c r="CG16" s="270"/>
      <c r="CH16" s="271"/>
      <c r="CI16" s="272"/>
      <c r="CJ16" s="270"/>
      <c r="CK16" s="273"/>
      <c r="CL16" s="274"/>
      <c r="CM16" s="267"/>
      <c r="CN16" s="268"/>
      <c r="CO16" s="269"/>
      <c r="CP16" s="270"/>
      <c r="CQ16" s="270"/>
      <c r="CR16" s="271"/>
      <c r="CS16" s="272"/>
      <c r="CT16" s="270"/>
      <c r="CU16" s="273"/>
      <c r="CV16" s="274"/>
      <c r="CW16" s="267"/>
      <c r="CX16" s="268"/>
      <c r="CY16" s="269"/>
      <c r="CZ16" s="270"/>
      <c r="DA16" s="270"/>
      <c r="DB16" s="271"/>
      <c r="DC16" s="272"/>
      <c r="DD16" s="270"/>
      <c r="DE16" s="273"/>
      <c r="DF16" s="274"/>
      <c r="DG16" s="267"/>
      <c r="DH16" s="268"/>
      <c r="DI16" s="269"/>
      <c r="DJ16" s="270"/>
      <c r="DK16" s="270"/>
      <c r="DL16" s="271"/>
      <c r="DM16" s="272"/>
      <c r="DN16" s="270"/>
      <c r="DO16" s="273"/>
      <c r="DP16" s="274"/>
      <c r="DQ16" s="267"/>
      <c r="DR16" s="268"/>
      <c r="DS16" s="269"/>
      <c r="DT16" s="270"/>
      <c r="DU16" s="270"/>
      <c r="DV16" s="271"/>
      <c r="DW16" s="272"/>
      <c r="DX16" s="270"/>
      <c r="DY16" s="273"/>
      <c r="DZ16" s="274"/>
      <c r="EA16" s="267"/>
      <c r="EB16" s="268"/>
      <c r="EC16" s="269"/>
      <c r="ED16" s="270"/>
      <c r="EE16" s="270"/>
      <c r="EF16" s="271"/>
      <c r="EG16" s="272"/>
      <c r="EH16" s="270"/>
      <c r="EI16" s="273"/>
      <c r="EJ16" s="274"/>
      <c r="EK16" s="267"/>
      <c r="EL16" s="268"/>
      <c r="EM16" s="269"/>
      <c r="EN16" s="270"/>
      <c r="EO16" s="270"/>
      <c r="EP16" s="271"/>
      <c r="EQ16" s="272"/>
      <c r="ER16" s="270"/>
      <c r="ES16" s="273"/>
      <c r="ET16" s="274"/>
      <c r="EU16" s="267"/>
      <c r="EV16" s="268"/>
      <c r="EW16" s="269"/>
      <c r="EX16" s="270"/>
      <c r="EY16" s="270"/>
      <c r="EZ16" s="271"/>
      <c r="FA16" s="272"/>
      <c r="FB16" s="270"/>
      <c r="FC16" s="273"/>
      <c r="FD16" s="274"/>
      <c r="FE16" s="267"/>
      <c r="FF16" s="268"/>
      <c r="FG16" s="269"/>
      <c r="FH16" s="270"/>
      <c r="FI16" s="270"/>
      <c r="FJ16" s="271"/>
      <c r="FK16" s="272"/>
      <c r="FL16" s="270"/>
      <c r="FM16" s="273"/>
      <c r="FN16" s="274"/>
      <c r="FO16" s="267"/>
      <c r="FP16" s="268"/>
      <c r="FQ16" s="269"/>
      <c r="FR16" s="270"/>
      <c r="FS16" s="270"/>
      <c r="FT16" s="271"/>
      <c r="FU16" s="272"/>
      <c r="FV16" s="270"/>
      <c r="FW16" s="273"/>
      <c r="FX16" s="274"/>
      <c r="FY16" s="267"/>
      <c r="FZ16" s="268"/>
      <c r="GA16" s="269"/>
      <c r="GB16" s="270"/>
      <c r="GC16" s="270"/>
      <c r="GD16" s="271"/>
      <c r="GE16" s="272"/>
      <c r="GF16" s="270"/>
      <c r="GG16" s="273"/>
      <c r="GH16" s="274"/>
      <c r="GI16" s="267"/>
      <c r="GJ16" s="268"/>
      <c r="GK16" s="269"/>
      <c r="GL16" s="270"/>
      <c r="GM16" s="270"/>
      <c r="GN16" s="271"/>
      <c r="GO16" s="272"/>
      <c r="GP16" s="270"/>
      <c r="GQ16" s="273"/>
      <c r="GR16" s="274"/>
      <c r="GS16" s="267"/>
      <c r="GT16" s="268"/>
      <c r="GU16" s="269"/>
      <c r="GV16" s="270"/>
      <c r="GW16" s="270"/>
      <c r="GX16" s="271"/>
      <c r="GY16" s="272"/>
      <c r="GZ16" s="270"/>
      <c r="HA16" s="273"/>
      <c r="HB16" s="274"/>
      <c r="HC16" s="267"/>
      <c r="HD16" s="268"/>
      <c r="HE16" s="269"/>
      <c r="HF16" s="270"/>
      <c r="HG16" s="270"/>
      <c r="HH16" s="271"/>
      <c r="HI16" s="272"/>
      <c r="HJ16" s="270"/>
      <c r="HK16" s="273"/>
      <c r="HL16" s="274"/>
      <c r="HM16" s="267"/>
      <c r="HN16" s="268"/>
      <c r="HO16" s="269"/>
      <c r="HP16" s="270"/>
      <c r="HQ16" s="270"/>
      <c r="HR16" s="271"/>
      <c r="HS16" s="272"/>
      <c r="HT16" s="270"/>
      <c r="HU16" s="273"/>
      <c r="HV16" s="274"/>
      <c r="HW16" s="267"/>
      <c r="HX16" s="268"/>
      <c r="HY16" s="269"/>
      <c r="HZ16" s="270"/>
      <c r="IA16" s="270"/>
      <c r="IB16" s="271"/>
      <c r="IC16" s="272"/>
      <c r="ID16" s="270"/>
      <c r="IE16" s="273"/>
      <c r="IF16" s="274"/>
      <c r="IG16" s="267"/>
      <c r="IH16" s="268"/>
      <c r="II16" s="269"/>
      <c r="IJ16" s="270"/>
      <c r="IK16" s="270"/>
      <c r="IL16" s="271"/>
      <c r="IM16" s="272"/>
      <c r="IN16" s="270"/>
      <c r="IO16" s="273"/>
      <c r="IP16" s="274"/>
      <c r="IQ16" s="267"/>
      <c r="IR16" s="268"/>
      <c r="IS16" s="269"/>
      <c r="IT16" s="270"/>
      <c r="IU16" s="270"/>
      <c r="IV16" s="271"/>
    </row>
    <row r="17" spans="1:47" s="283" customFormat="1" ht="15">
      <c r="A17" s="190"/>
      <c r="B17" s="275"/>
      <c r="C17" s="276"/>
      <c r="D17" s="277"/>
      <c r="E17" s="278"/>
      <c r="F17" s="279"/>
      <c r="G17" s="279"/>
      <c r="H17" s="280"/>
      <c r="I17" s="281"/>
      <c r="J17" s="281"/>
      <c r="K17" s="282"/>
      <c r="L17" s="190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</row>
    <row r="18" spans="1:47" s="34" customFormat="1" ht="15">
      <c r="A18" s="14"/>
      <c r="B18" s="231"/>
      <c r="C18" s="263"/>
      <c r="D18" s="233"/>
      <c r="E18" s="264"/>
      <c r="F18" s="233"/>
      <c r="G18" s="264"/>
      <c r="H18" s="265"/>
      <c r="I18" s="264"/>
      <c r="J18" s="266"/>
      <c r="K18" s="265"/>
      <c r="L18" s="14"/>
    </row>
    <row r="19" spans="1:47" s="30" customFormat="1" ht="15">
      <c r="A19" s="14"/>
      <c r="B19" s="267"/>
      <c r="C19" s="268"/>
      <c r="D19" s="269"/>
      <c r="E19" s="270"/>
      <c r="F19" s="270"/>
      <c r="G19" s="271"/>
      <c r="H19" s="272"/>
      <c r="I19" s="270"/>
      <c r="J19" s="273"/>
      <c r="K19" s="274"/>
      <c r="L19" s="14"/>
      <c r="M19" s="25"/>
      <c r="N19" s="284"/>
      <c r="O19" s="285"/>
      <c r="P19" s="31"/>
    </row>
    <row r="20" spans="1:47" ht="15">
      <c r="C20" s="24"/>
      <c r="D20" s="24"/>
      <c r="E20" s="24"/>
      <c r="F20" s="24"/>
      <c r="G20" s="24"/>
      <c r="H20" s="24"/>
      <c r="J20" s="24" t="s">
        <v>12</v>
      </c>
      <c r="K20" s="286">
        <f>SUM(K14:K16)</f>
        <v>0</v>
      </c>
    </row>
    <row r="21" spans="1:47" ht="15">
      <c r="C21" s="24"/>
      <c r="D21" s="24"/>
      <c r="E21" s="24"/>
      <c r="F21" s="24"/>
      <c r="G21" s="24"/>
      <c r="H21" s="24"/>
      <c r="J21" s="24"/>
      <c r="K21" s="287"/>
    </row>
    <row r="22" spans="1:47" ht="15">
      <c r="C22" s="24"/>
      <c r="D22" s="24"/>
      <c r="E22" s="24"/>
      <c r="F22" s="24"/>
      <c r="G22" s="24"/>
      <c r="H22" s="24"/>
      <c r="J22" s="24"/>
      <c r="K22" s="287"/>
    </row>
    <row r="23" spans="1:47" ht="15" hidden="1" outlineLevel="1">
      <c r="C23" s="24"/>
      <c r="D23" s="24"/>
      <c r="E23" s="24"/>
      <c r="F23" s="24"/>
      <c r="G23" s="24"/>
      <c r="H23" s="24"/>
      <c r="J23" s="24"/>
      <c r="K23" s="287"/>
    </row>
    <row r="24" spans="1:47" ht="15" hidden="1" outlineLevel="1">
      <c r="B24" s="30" t="s">
        <v>78</v>
      </c>
      <c r="C24" s="24"/>
      <c r="D24" s="24"/>
      <c r="E24" s="24"/>
      <c r="F24" s="24"/>
      <c r="G24" s="24"/>
      <c r="H24" s="24"/>
      <c r="J24" s="24"/>
      <c r="K24" s="287"/>
    </row>
    <row r="25" spans="1:47" ht="15" hidden="1" outlineLevel="1">
      <c r="C25" s="24"/>
      <c r="D25" s="24"/>
      <c r="E25" s="24"/>
      <c r="F25" s="24"/>
      <c r="G25" s="24"/>
      <c r="H25" s="24"/>
      <c r="J25" s="24"/>
      <c r="K25" s="287"/>
    </row>
    <row r="26" spans="1:47" s="50" customFormat="1" ht="45" hidden="1" outlineLevel="1">
      <c r="A26" s="288"/>
      <c r="B26" s="27" t="s">
        <v>66</v>
      </c>
      <c r="C26" s="27" t="s">
        <v>67</v>
      </c>
      <c r="D26" s="27" t="s">
        <v>68</v>
      </c>
      <c r="E26" s="27" t="s">
        <v>3</v>
      </c>
      <c r="F26" s="17" t="s">
        <v>8</v>
      </c>
      <c r="G26" s="156" t="s">
        <v>1</v>
      </c>
      <c r="H26" s="156" t="s">
        <v>70</v>
      </c>
      <c r="I26" s="18" t="s">
        <v>13</v>
      </c>
      <c r="J26" s="288"/>
    </row>
    <row r="27" spans="1:47" s="49" customFormat="1" hidden="1" outlineLevel="1">
      <c r="A27" s="14"/>
      <c r="B27" s="208"/>
      <c r="C27" s="13"/>
      <c r="D27" s="209"/>
      <c r="E27" s="13"/>
      <c r="F27" s="209"/>
      <c r="G27" s="208"/>
      <c r="H27" s="210"/>
      <c r="I27" s="210"/>
      <c r="J27" s="14"/>
    </row>
    <row r="28" spans="1:47" s="49" customFormat="1" hidden="1" outlineLevel="1">
      <c r="A28" s="14"/>
      <c r="B28" s="211"/>
      <c r="C28" s="212"/>
      <c r="D28" s="13"/>
      <c r="E28" s="212"/>
      <c r="F28" s="213"/>
      <c r="G28" s="214"/>
      <c r="H28" s="215"/>
      <c r="I28" s="216"/>
      <c r="J28" s="14"/>
    </row>
    <row r="29" spans="1:47" s="49" customFormat="1" hidden="1" outlineLevel="1">
      <c r="A29" s="14"/>
      <c r="B29" s="217"/>
      <c r="C29" s="218"/>
      <c r="D29" s="219"/>
      <c r="E29" s="218"/>
      <c r="F29" s="220"/>
      <c r="G29" s="221"/>
      <c r="H29" s="222"/>
      <c r="I29" s="223"/>
      <c r="J29" s="14"/>
    </row>
    <row r="30" spans="1:47" s="49" customFormat="1" ht="15" hidden="1" outlineLevel="1">
      <c r="A30" s="14"/>
      <c r="B30" s="13"/>
      <c r="C30" s="13"/>
      <c r="D30" s="13"/>
      <c r="E30" s="13"/>
      <c r="F30" s="224"/>
      <c r="G30" s="176"/>
      <c r="H30" s="24" t="s">
        <v>12</v>
      </c>
      <c r="I30" s="225"/>
      <c r="J30" s="14"/>
    </row>
    <row r="31" spans="1:47" s="49" customFormat="1" hidden="1" outlineLevel="1">
      <c r="A31" s="14"/>
      <c r="B31" s="19"/>
      <c r="C31" s="19"/>
      <c r="D31" s="289"/>
      <c r="E31" s="19"/>
      <c r="F31" s="19"/>
      <c r="G31" s="19"/>
      <c r="H31" s="19"/>
      <c r="I31" s="19"/>
      <c r="J31" s="14"/>
    </row>
    <row r="32" spans="1:47" ht="15" hidden="1" outlineLevel="1">
      <c r="C32" s="24"/>
      <c r="D32" s="24"/>
      <c r="E32" s="24"/>
      <c r="F32" s="24"/>
      <c r="G32" s="24"/>
      <c r="H32" s="24"/>
      <c r="J32" s="24"/>
      <c r="K32" s="287"/>
    </row>
    <row r="33" spans="3:11" ht="15" collapsed="1">
      <c r="C33" s="24"/>
      <c r="D33" s="24"/>
      <c r="E33" s="24"/>
      <c r="F33" s="24"/>
      <c r="G33" s="24"/>
      <c r="H33" s="24"/>
      <c r="J33" s="24"/>
      <c r="K33" s="287"/>
    </row>
    <row r="34" spans="3:11" ht="15">
      <c r="C34" s="24"/>
      <c r="D34" s="24"/>
      <c r="E34" s="24"/>
      <c r="F34" s="24"/>
      <c r="G34" s="24"/>
      <c r="H34" s="24"/>
      <c r="I34" s="24"/>
      <c r="J34" s="24"/>
      <c r="K34" s="287"/>
    </row>
    <row r="35" spans="3:11" ht="15">
      <c r="C35" s="24"/>
      <c r="D35" s="24"/>
      <c r="E35" s="24"/>
      <c r="F35" s="24"/>
      <c r="G35" s="24"/>
      <c r="H35" s="24"/>
      <c r="I35" s="24"/>
      <c r="J35" s="24"/>
      <c r="K35" s="287"/>
    </row>
  </sheetData>
  <mergeCells count="2">
    <mergeCell ref="B6:K6"/>
    <mergeCell ref="B8:K8"/>
  </mergeCells>
  <printOptions horizontalCentered="1" gridLinesSet="0"/>
  <pageMargins left="0.19685039370078741" right="0.74803149606299213" top="0.98425196850393704" bottom="0.98425196850393704" header="0.51181102362204722" footer="0.51181102362204722"/>
  <pageSetup paperSize="9" scale="1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09DC-AFE4-40A8-B37C-F3D9B5DCD1C0}">
  <sheetPr>
    <tabColor theme="3" tint="-0.249977111117893"/>
    <pageSetUpPr fitToPage="1"/>
  </sheetPr>
  <dimension ref="A1:N19"/>
  <sheetViews>
    <sheetView view="pageBreakPreview" zoomScale="115" zoomScaleNormal="100" zoomScaleSheetLayoutView="115" workbookViewId="0">
      <selection activeCell="B8" sqref="B8:M8"/>
    </sheetView>
  </sheetViews>
  <sheetFormatPr baseColWidth="10" defaultColWidth="9.140625" defaultRowHeight="14.25"/>
  <cols>
    <col min="1" max="1" width="2.85546875" style="14" customWidth="1"/>
    <col min="2" max="2" width="13.85546875" style="49" customWidth="1"/>
    <col min="3" max="3" width="17.7109375" style="49" customWidth="1"/>
    <col min="4" max="6" width="13.85546875" style="49" customWidth="1"/>
    <col min="7" max="7" width="16.28515625" style="49" bestFit="1" customWidth="1"/>
    <col min="8" max="9" width="13.85546875" style="49" customWidth="1"/>
    <col min="10" max="10" width="18.42578125" style="49" customWidth="1"/>
    <col min="11" max="11" width="13.85546875" style="49" customWidth="1"/>
    <col min="12" max="12" width="20" style="49" customWidth="1"/>
    <col min="13" max="13" width="22.85546875" style="49" customWidth="1"/>
    <col min="14" max="14" width="2.85546875" style="14" customWidth="1"/>
    <col min="15" max="16384" width="9.140625" style="49"/>
  </cols>
  <sheetData>
    <row r="1" spans="1:14" ht="15">
      <c r="A1" s="12"/>
      <c r="B1" s="117" t="str">
        <f>+Achats_LUX!B1</f>
        <v>Carla_________</v>
      </c>
      <c r="C1" s="19"/>
      <c r="D1" s="11"/>
      <c r="E1" s="19"/>
      <c r="F1" s="19"/>
      <c r="G1" s="19"/>
      <c r="H1" s="19"/>
      <c r="I1" s="19"/>
      <c r="J1" s="19"/>
      <c r="K1" s="36"/>
      <c r="L1" s="19"/>
      <c r="M1" s="20" t="s">
        <v>43</v>
      </c>
      <c r="N1" s="12"/>
    </row>
    <row r="2" spans="1:14" ht="15">
      <c r="A2" s="12"/>
      <c r="B2" s="117" t="s">
        <v>46</v>
      </c>
      <c r="C2" s="19"/>
      <c r="D2" s="11"/>
      <c r="E2" s="19"/>
      <c r="F2" s="19"/>
      <c r="G2" s="19"/>
      <c r="H2" s="19"/>
      <c r="I2" s="19"/>
      <c r="J2" s="19"/>
      <c r="K2" s="36"/>
      <c r="L2" s="19"/>
      <c r="M2" s="36"/>
      <c r="N2" s="12"/>
    </row>
    <row r="3" spans="1:14" ht="15">
      <c r="A3" s="12"/>
      <c r="B3" s="117">
        <v>0</v>
      </c>
      <c r="C3" s="22"/>
      <c r="D3" s="11"/>
      <c r="E3" s="22"/>
      <c r="F3" s="22"/>
      <c r="G3" s="22"/>
      <c r="H3" s="22"/>
      <c r="I3" s="22"/>
      <c r="J3" s="22"/>
      <c r="K3" s="36"/>
      <c r="L3" s="19"/>
      <c r="M3" s="36"/>
      <c r="N3" s="12"/>
    </row>
    <row r="4" spans="1:14" ht="15">
      <c r="A4" s="12"/>
      <c r="B4" s="117" t="s">
        <v>45</v>
      </c>
      <c r="C4" s="31"/>
      <c r="D4" s="19"/>
      <c r="E4" s="31"/>
      <c r="F4" s="31"/>
      <c r="G4" s="31"/>
      <c r="H4" s="31"/>
      <c r="I4" s="31"/>
      <c r="J4" s="31"/>
      <c r="K4" s="36"/>
      <c r="L4" s="19"/>
      <c r="M4" s="36"/>
      <c r="N4" s="12"/>
    </row>
    <row r="5" spans="1:14" s="66" customFormat="1" ht="15.75">
      <c r="B5" s="70"/>
      <c r="C5" s="73"/>
      <c r="D5" s="70"/>
      <c r="E5" s="73"/>
      <c r="F5" s="73"/>
      <c r="G5" s="73"/>
      <c r="H5" s="73"/>
      <c r="I5" s="73"/>
      <c r="J5" s="73"/>
      <c r="K5" s="69"/>
      <c r="L5" s="70"/>
      <c r="M5" s="69"/>
    </row>
    <row r="6" spans="1:14" s="66" customFormat="1" ht="15.75">
      <c r="B6" s="306" t="s">
        <v>16</v>
      </c>
      <c r="C6" s="306"/>
      <c r="D6" s="305"/>
      <c r="E6" s="305"/>
      <c r="F6" s="305"/>
      <c r="G6" s="305"/>
      <c r="H6" s="305"/>
      <c r="I6" s="305"/>
      <c r="J6" s="305"/>
      <c r="K6" s="305"/>
      <c r="L6" s="313"/>
      <c r="M6" s="313"/>
    </row>
    <row r="7" spans="1:14" s="66" customFormat="1" ht="15">
      <c r="B7" s="70"/>
      <c r="C7" s="70"/>
      <c r="D7" s="70"/>
      <c r="E7" s="70"/>
      <c r="F7" s="70"/>
      <c r="G7" s="70"/>
      <c r="H7" s="70"/>
      <c r="I7" s="70"/>
      <c r="J7" s="70"/>
      <c r="K7" s="69"/>
      <c r="L7" s="70"/>
      <c r="M7" s="69"/>
    </row>
    <row r="8" spans="1:14" s="66" customFormat="1" ht="15.75"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</row>
    <row r="9" spans="1:14" s="66" customFormat="1" ht="15.75">
      <c r="A9" s="67"/>
      <c r="B9" s="70"/>
      <c r="C9" s="76"/>
      <c r="D9" s="70"/>
      <c r="E9" s="76"/>
      <c r="F9" s="76"/>
      <c r="G9" s="76"/>
      <c r="H9" s="76"/>
      <c r="I9" s="76"/>
      <c r="J9" s="76"/>
      <c r="K9" s="69"/>
      <c r="L9" s="70"/>
      <c r="M9" s="69"/>
      <c r="N9" s="67"/>
    </row>
    <row r="10" spans="1:14" ht="15">
      <c r="B10" s="19"/>
      <c r="C10" s="33"/>
      <c r="D10" s="19"/>
      <c r="E10" s="33"/>
      <c r="F10" s="33"/>
      <c r="G10" s="33"/>
      <c r="H10" s="33"/>
      <c r="I10" s="33"/>
      <c r="J10" s="33"/>
      <c r="K10" s="36"/>
      <c r="L10" s="19"/>
      <c r="M10" s="36"/>
    </row>
    <row r="11" spans="1:14" s="50" customFormat="1" ht="39.950000000000003" customHeight="1">
      <c r="A11" s="13"/>
      <c r="B11" s="16" t="s">
        <v>0</v>
      </c>
      <c r="C11" s="35" t="s">
        <v>23</v>
      </c>
      <c r="D11" s="17" t="s">
        <v>6</v>
      </c>
      <c r="E11" s="17" t="s">
        <v>17</v>
      </c>
      <c r="F11" s="17" t="s">
        <v>2</v>
      </c>
      <c r="G11" s="18" t="s">
        <v>8</v>
      </c>
      <c r="H11" s="27" t="s">
        <v>1</v>
      </c>
      <c r="I11" s="27" t="s">
        <v>5</v>
      </c>
      <c r="J11" s="18" t="s">
        <v>13</v>
      </c>
      <c r="K11" s="27" t="s">
        <v>9</v>
      </c>
      <c r="L11" s="290" t="s">
        <v>14</v>
      </c>
      <c r="M11" s="27" t="s">
        <v>15</v>
      </c>
      <c r="N11" s="13"/>
    </row>
    <row r="12" spans="1:14" s="91" customFormat="1" ht="12.75">
      <c r="B12" s="106"/>
      <c r="C12" s="101"/>
      <c r="D12" s="101"/>
      <c r="E12" s="101"/>
      <c r="F12" s="101"/>
      <c r="G12" s="291"/>
      <c r="H12" s="292"/>
      <c r="I12" s="113"/>
      <c r="J12" s="292"/>
      <c r="K12" s="114"/>
      <c r="L12" s="292"/>
      <c r="M12" s="292"/>
    </row>
    <row r="13" spans="1:14" s="91" customFormat="1" ht="12.75">
      <c r="B13" s="106"/>
      <c r="C13" s="101"/>
      <c r="D13" s="101"/>
      <c r="E13" s="101"/>
      <c r="F13" s="101"/>
      <c r="G13" s="291"/>
      <c r="H13" s="292"/>
      <c r="I13" s="113"/>
      <c r="J13" s="292"/>
      <c r="K13" s="114"/>
      <c r="L13" s="292"/>
      <c r="M13" s="292"/>
    </row>
    <row r="14" spans="1:14" s="91" customFormat="1" ht="12.75">
      <c r="B14" s="107"/>
      <c r="C14" s="108"/>
      <c r="D14" s="108"/>
      <c r="E14" s="108"/>
      <c r="F14" s="104"/>
      <c r="G14" s="293"/>
      <c r="H14" s="104"/>
      <c r="I14" s="109"/>
      <c r="J14" s="294"/>
      <c r="K14" s="110"/>
      <c r="L14" s="294"/>
      <c r="M14" s="294"/>
    </row>
    <row r="15" spans="1:14" s="14" customFormat="1" ht="15">
      <c r="B15" s="19"/>
      <c r="C15" s="19"/>
      <c r="D15" s="19"/>
      <c r="E15" s="19"/>
      <c r="F15" s="19"/>
      <c r="G15" s="19"/>
      <c r="H15" s="25"/>
      <c r="I15" s="24" t="s">
        <v>12</v>
      </c>
      <c r="J15" s="295">
        <f>SUM(J12:J13)</f>
        <v>0</v>
      </c>
      <c r="K15" s="45"/>
      <c r="L15" s="295">
        <f>SUM(L12:L13)</f>
        <v>0</v>
      </c>
      <c r="M15" s="295">
        <f>SUM(M12:M13)</f>
        <v>0</v>
      </c>
    </row>
    <row r="16" spans="1:14" s="14" customFormat="1">
      <c r="B16" s="19"/>
      <c r="C16" s="19"/>
      <c r="D16" s="19"/>
      <c r="E16" s="19"/>
      <c r="F16" s="19"/>
      <c r="G16" s="19"/>
      <c r="H16" s="19"/>
      <c r="I16" s="19"/>
      <c r="J16" s="19"/>
      <c r="K16" s="36"/>
      <c r="L16" s="19"/>
      <c r="M16" s="36"/>
    </row>
    <row r="17" spans="2:13" s="14" customFormat="1">
      <c r="B17" s="19"/>
      <c r="C17" s="19"/>
      <c r="D17" s="19"/>
      <c r="E17" s="19"/>
      <c r="F17" s="19"/>
      <c r="G17" s="19"/>
      <c r="H17" s="19"/>
      <c r="I17" s="19"/>
      <c r="J17" s="19"/>
      <c r="K17" s="36"/>
      <c r="L17" s="19"/>
      <c r="M17" s="36"/>
    </row>
    <row r="18" spans="2:13" s="14" customFormat="1" ht="15">
      <c r="B18" s="34"/>
      <c r="C18" s="34"/>
      <c r="D18" s="34"/>
      <c r="E18" s="34"/>
      <c r="F18" s="34"/>
      <c r="G18" s="34"/>
      <c r="H18" s="34"/>
      <c r="I18" s="34"/>
      <c r="J18" s="34"/>
      <c r="K18" s="15"/>
      <c r="L18" s="34"/>
      <c r="M18" s="15"/>
    </row>
    <row r="19" spans="2:13" s="14" customFormat="1" ht="15">
      <c r="B19" s="34"/>
      <c r="C19" s="34"/>
      <c r="D19" s="34"/>
      <c r="E19" s="34"/>
      <c r="F19" s="34"/>
      <c r="G19" s="34"/>
      <c r="H19" s="34"/>
      <c r="I19" s="34"/>
      <c r="J19" s="34"/>
      <c r="K19" s="15"/>
      <c r="L19" s="34"/>
      <c r="M19" s="15"/>
    </row>
  </sheetData>
  <mergeCells count="2">
    <mergeCell ref="B6:M6"/>
    <mergeCell ref="B8:M8"/>
  </mergeCells>
  <pageMargins left="0.7" right="0.7" top="0.75" bottom="0.75" header="0.3" footer="0.3"/>
  <pageSetup paperSize="9"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E8B3-FE0A-4B55-845B-68AB439FE262}">
  <sheetPr>
    <tabColor theme="3" tint="0.39997558519241921"/>
    <pageSetUpPr fitToPage="1"/>
  </sheetPr>
  <dimension ref="A1:M137"/>
  <sheetViews>
    <sheetView showGridLines="0" view="pageBreakPreview" zoomScale="145" zoomScaleNormal="66" zoomScaleSheetLayoutView="145" workbookViewId="0">
      <selection activeCell="A8" sqref="A8"/>
    </sheetView>
  </sheetViews>
  <sheetFormatPr baseColWidth="10" defaultColWidth="9.140625" defaultRowHeight="14.25" outlineLevelRow="1"/>
  <cols>
    <col min="1" max="1" width="2.85546875" style="14" customWidth="1"/>
    <col min="2" max="2" width="15.42578125" style="13" customWidth="1"/>
    <col min="3" max="3" width="27.28515625" style="14" customWidth="1"/>
    <col min="4" max="4" width="13.5703125" style="14" customWidth="1"/>
    <col min="5" max="5" width="21.5703125" style="14" customWidth="1"/>
    <col min="6" max="6" width="9.85546875" style="175" bestFit="1" customWidth="1"/>
    <col min="7" max="7" width="17.7109375" style="13" customWidth="1"/>
    <col min="8" max="8" width="10.28515625" style="14" bestFit="1" customWidth="1"/>
    <col min="9" max="9" width="14.5703125" style="177" bestFit="1" customWidth="1"/>
    <col min="10" max="10" width="15.5703125" style="14" bestFit="1" customWidth="1"/>
    <col min="11" max="11" width="2.85546875" style="14" customWidth="1"/>
    <col min="12" max="16384" width="9.140625" style="14"/>
  </cols>
  <sheetData>
    <row r="1" spans="2:13" s="12" customFormat="1" ht="15">
      <c r="B1" s="117" t="str">
        <f>+Achats_LUX!B1</f>
        <v>Carla_________</v>
      </c>
      <c r="C1" s="13"/>
      <c r="D1" s="13"/>
      <c r="E1" s="13"/>
      <c r="F1" s="13"/>
      <c r="G1" s="168"/>
      <c r="J1" s="169" t="str">
        <f>"Annexe "&amp;[3]Index!A28</f>
        <v>Annexe 2</v>
      </c>
    </row>
    <row r="2" spans="2:13" s="12" customFormat="1">
      <c r="B2" s="117" t="s">
        <v>46</v>
      </c>
      <c r="C2" s="13"/>
      <c r="D2" s="13"/>
      <c r="E2" s="13"/>
      <c r="F2" s="13"/>
      <c r="G2" s="170"/>
    </row>
    <row r="3" spans="2:13" s="12" customFormat="1">
      <c r="B3" s="117">
        <v>0</v>
      </c>
      <c r="C3" s="13"/>
      <c r="D3" s="13"/>
      <c r="E3" s="13"/>
      <c r="F3" s="13"/>
      <c r="G3" s="170"/>
    </row>
    <row r="4" spans="2:13" s="12" customFormat="1">
      <c r="B4" s="117" t="s">
        <v>45</v>
      </c>
      <c r="C4" s="13"/>
      <c r="D4" s="13"/>
      <c r="E4" s="13"/>
      <c r="F4" s="13"/>
      <c r="G4" s="170"/>
    </row>
    <row r="5" spans="2:13" s="12" customFormat="1">
      <c r="B5" s="13"/>
      <c r="C5" s="13"/>
      <c r="D5" s="13"/>
      <c r="E5" s="13"/>
      <c r="F5" s="13"/>
      <c r="G5" s="170"/>
    </row>
    <row r="6" spans="2:13" s="66" customFormat="1" ht="15.75">
      <c r="B6" s="306" t="s">
        <v>49</v>
      </c>
      <c r="C6" s="306"/>
      <c r="D6" s="306"/>
      <c r="E6" s="306"/>
      <c r="F6" s="306"/>
      <c r="G6" s="306"/>
      <c r="H6" s="306"/>
      <c r="I6" s="306"/>
      <c r="J6" s="306"/>
    </row>
    <row r="7" spans="2:13" s="66" customFormat="1" ht="15">
      <c r="B7" s="171"/>
      <c r="C7" s="171"/>
      <c r="D7" s="171"/>
      <c r="E7" s="171"/>
      <c r="F7" s="172"/>
      <c r="G7" s="173"/>
      <c r="H7" s="173"/>
      <c r="I7" s="173"/>
      <c r="J7" s="173"/>
    </row>
    <row r="8" spans="2:13" s="66" customFormat="1" ht="15.75">
      <c r="B8" s="303"/>
      <c r="C8" s="303"/>
      <c r="D8" s="303"/>
      <c r="E8" s="303"/>
      <c r="F8" s="303"/>
      <c r="G8" s="303"/>
      <c r="H8" s="303"/>
      <c r="I8" s="303"/>
      <c r="J8" s="303"/>
      <c r="K8" s="120"/>
      <c r="M8" s="174" t="s">
        <v>50</v>
      </c>
    </row>
    <row r="9" spans="2:13">
      <c r="C9" s="13"/>
      <c r="D9" s="13"/>
      <c r="E9" s="13"/>
      <c r="G9" s="176"/>
    </row>
    <row r="10" spans="2:13" ht="15">
      <c r="B10" s="178" t="s">
        <v>51</v>
      </c>
      <c r="C10" s="13"/>
      <c r="D10" s="13"/>
      <c r="E10" s="13"/>
      <c r="G10" s="176"/>
    </row>
    <row r="11" spans="2:13" ht="15">
      <c r="B11" s="34"/>
      <c r="C11" s="15"/>
      <c r="D11" s="15"/>
      <c r="E11" s="15"/>
      <c r="F11" s="15"/>
      <c r="G11" s="34"/>
      <c r="H11" s="34"/>
      <c r="I11" s="34"/>
      <c r="J11" s="15"/>
    </row>
    <row r="12" spans="2:13" ht="39.950000000000003" customHeight="1">
      <c r="B12" s="179" t="s">
        <v>0</v>
      </c>
      <c r="C12" s="16" t="s">
        <v>7</v>
      </c>
      <c r="D12" s="17" t="s">
        <v>52</v>
      </c>
      <c r="E12" s="17" t="s">
        <v>3</v>
      </c>
      <c r="F12" s="17" t="s">
        <v>2</v>
      </c>
      <c r="G12" s="17" t="s">
        <v>8</v>
      </c>
      <c r="H12" s="17" t="s">
        <v>1</v>
      </c>
      <c r="I12" s="27" t="s">
        <v>5</v>
      </c>
      <c r="J12" s="18" t="s">
        <v>13</v>
      </c>
    </row>
    <row r="13" spans="2:13" s="91" customFormat="1" ht="12.75">
      <c r="B13" s="180"/>
      <c r="C13" s="181"/>
      <c r="D13" s="182"/>
      <c r="E13" s="182"/>
      <c r="F13" s="182"/>
      <c r="G13" s="183"/>
      <c r="H13" s="182"/>
      <c r="I13" s="184"/>
      <c r="J13" s="185"/>
    </row>
    <row r="14" spans="2:13" s="91" customFormat="1" ht="12.75">
      <c r="B14" s="180"/>
      <c r="C14" s="181"/>
      <c r="D14" s="182"/>
      <c r="E14" s="182"/>
      <c r="F14" s="182"/>
      <c r="G14" s="183"/>
      <c r="H14" s="182"/>
      <c r="I14" s="184"/>
      <c r="J14" s="185"/>
    </row>
    <row r="15" spans="2:13" s="91" customFormat="1" ht="12.75">
      <c r="B15" s="180"/>
      <c r="C15" s="181"/>
      <c r="D15" s="182"/>
      <c r="E15" s="182"/>
      <c r="F15" s="182"/>
      <c r="G15" s="183"/>
      <c r="H15" s="182"/>
      <c r="I15" s="184"/>
      <c r="J15" s="185"/>
    </row>
    <row r="16" spans="2:13" s="91" customFormat="1" ht="12.75">
      <c r="B16" s="180"/>
      <c r="C16" s="181"/>
      <c r="D16" s="182"/>
      <c r="E16" s="182"/>
      <c r="F16" s="182"/>
      <c r="G16" s="183"/>
      <c r="H16" s="182"/>
      <c r="I16" s="184"/>
      <c r="J16" s="185"/>
    </row>
    <row r="17" spans="2:12" s="91" customFormat="1" ht="12.75">
      <c r="B17" s="180"/>
      <c r="C17" s="181"/>
      <c r="D17" s="182"/>
      <c r="E17" s="182"/>
      <c r="F17" s="182"/>
      <c r="G17" s="183"/>
      <c r="H17" s="182"/>
      <c r="I17" s="184"/>
      <c r="J17" s="185"/>
    </row>
    <row r="18" spans="2:12" s="190" customFormat="1" ht="15" hidden="1" outlineLevel="1">
      <c r="B18" s="186"/>
      <c r="C18" s="187"/>
      <c r="D18" s="188"/>
      <c r="E18" s="188"/>
      <c r="F18" s="188"/>
      <c r="G18" s="188"/>
      <c r="H18" s="188"/>
      <c r="I18" s="189"/>
      <c r="J18" s="186"/>
    </row>
    <row r="19" spans="2:12" s="91" customFormat="1" ht="12.75" hidden="1" outlineLevel="1">
      <c r="B19" s="180">
        <v>43951</v>
      </c>
      <c r="C19" s="181" t="s">
        <v>53</v>
      </c>
      <c r="D19" s="182" t="s">
        <v>58</v>
      </c>
      <c r="E19" s="182" t="s">
        <v>54</v>
      </c>
      <c r="F19" s="182" t="s">
        <v>55</v>
      </c>
      <c r="G19" s="183">
        <v>3575</v>
      </c>
      <c r="H19" s="182" t="s">
        <v>39</v>
      </c>
      <c r="I19" s="184">
        <v>1</v>
      </c>
      <c r="J19" s="185">
        <f>+I19*G19</f>
        <v>3575</v>
      </c>
      <c r="L19" s="91" t="s">
        <v>56</v>
      </c>
    </row>
    <row r="20" spans="2:12" s="91" customFormat="1" ht="12.75" hidden="1" outlineLevel="1">
      <c r="B20" s="180">
        <v>44008</v>
      </c>
      <c r="C20" s="181" t="s">
        <v>53</v>
      </c>
      <c r="D20" s="182" t="s">
        <v>59</v>
      </c>
      <c r="E20" s="182" t="s">
        <v>54</v>
      </c>
      <c r="F20" s="182" t="s">
        <v>55</v>
      </c>
      <c r="G20" s="183">
        <f>940+20</f>
        <v>960</v>
      </c>
      <c r="H20" s="182" t="s">
        <v>39</v>
      </c>
      <c r="I20" s="184">
        <v>1</v>
      </c>
      <c r="J20" s="185">
        <f>+I20*G20</f>
        <v>960</v>
      </c>
      <c r="L20" s="91" t="s">
        <v>56</v>
      </c>
    </row>
    <row r="21" spans="2:12" s="91" customFormat="1" ht="12.75" hidden="1" outlineLevel="1">
      <c r="B21" s="180">
        <v>43991</v>
      </c>
      <c r="C21" s="181" t="s">
        <v>57</v>
      </c>
      <c r="D21" s="182" t="s">
        <v>60</v>
      </c>
      <c r="E21" s="182" t="s">
        <v>54</v>
      </c>
      <c r="F21" s="182" t="s">
        <v>55</v>
      </c>
      <c r="G21" s="183">
        <f>485.46+18</f>
        <v>503.46</v>
      </c>
      <c r="H21" s="182" t="s">
        <v>39</v>
      </c>
      <c r="I21" s="184">
        <v>1</v>
      </c>
      <c r="J21" s="185">
        <f>+I21*G21</f>
        <v>503.46</v>
      </c>
      <c r="L21" s="91" t="s">
        <v>56</v>
      </c>
    </row>
    <row r="22" spans="2:12" s="91" customFormat="1" ht="12.75" hidden="1" outlineLevel="1">
      <c r="B22" s="180">
        <v>44001</v>
      </c>
      <c r="C22" s="181" t="s">
        <v>53</v>
      </c>
      <c r="D22" s="182" t="s">
        <v>61</v>
      </c>
      <c r="E22" s="182" t="s">
        <v>62</v>
      </c>
      <c r="F22" s="182" t="s">
        <v>55</v>
      </c>
      <c r="G22" s="183">
        <f>2795+100</f>
        <v>2895</v>
      </c>
      <c r="H22" s="182" t="s">
        <v>39</v>
      </c>
      <c r="I22" s="184">
        <v>1</v>
      </c>
      <c r="J22" s="185">
        <f>+I22*G22</f>
        <v>2895</v>
      </c>
      <c r="L22" s="91" t="s">
        <v>56</v>
      </c>
    </row>
    <row r="23" spans="2:12" s="190" customFormat="1" ht="15" hidden="1" outlineLevel="1">
      <c r="B23" s="186"/>
      <c r="C23" s="187"/>
      <c r="D23" s="188"/>
      <c r="E23" s="188"/>
      <c r="F23" s="188"/>
      <c r="G23" s="188"/>
      <c r="H23" s="188"/>
      <c r="I23" s="189"/>
      <c r="J23" s="186"/>
    </row>
    <row r="24" spans="2:12" s="91" customFormat="1" ht="12.75" hidden="1" outlineLevel="1">
      <c r="B24" s="180">
        <v>43879</v>
      </c>
      <c r="C24" s="181" t="s">
        <v>53</v>
      </c>
      <c r="D24" s="182" t="s">
        <v>63</v>
      </c>
      <c r="E24" s="182" t="s">
        <v>54</v>
      </c>
      <c r="F24" s="182" t="s">
        <v>55</v>
      </c>
      <c r="G24" s="183">
        <f>1378-200+30</f>
        <v>1208</v>
      </c>
      <c r="H24" s="182" t="s">
        <v>39</v>
      </c>
      <c r="I24" s="184">
        <v>1</v>
      </c>
      <c r="J24" s="185">
        <f>+I24*G24</f>
        <v>1208</v>
      </c>
    </row>
    <row r="25" spans="2:12" s="91" customFormat="1" ht="12.75" hidden="1" outlineLevel="1">
      <c r="B25" s="180">
        <v>43901</v>
      </c>
      <c r="C25" s="181" t="s">
        <v>53</v>
      </c>
      <c r="D25" s="182" t="s">
        <v>64</v>
      </c>
      <c r="E25" s="182" t="s">
        <v>54</v>
      </c>
      <c r="F25" s="182" t="s">
        <v>55</v>
      </c>
      <c r="G25" s="183">
        <v>5590</v>
      </c>
      <c r="H25" s="182" t="s">
        <v>39</v>
      </c>
      <c r="I25" s="184">
        <v>1</v>
      </c>
      <c r="J25" s="185">
        <f>+I25*G25</f>
        <v>5590</v>
      </c>
    </row>
    <row r="26" spans="2:12" s="91" customFormat="1" ht="14.25" hidden="1" customHeight="1" outlineLevel="1">
      <c r="B26" s="191"/>
      <c r="C26" s="192"/>
      <c r="D26" s="193"/>
      <c r="E26" s="193"/>
      <c r="F26" s="194"/>
      <c r="G26" s="195"/>
      <c r="H26" s="196"/>
      <c r="I26" s="197"/>
      <c r="J26" s="198"/>
    </row>
    <row r="27" spans="2:12" ht="15" collapsed="1">
      <c r="B27" s="199"/>
      <c r="C27" s="200"/>
      <c r="D27" s="200"/>
      <c r="E27" s="200"/>
      <c r="F27" s="201"/>
      <c r="G27" s="202"/>
      <c r="H27" s="203"/>
      <c r="I27" s="204" t="s">
        <v>12</v>
      </c>
      <c r="J27" s="205">
        <f>SUM(J13:J17)</f>
        <v>0</v>
      </c>
    </row>
    <row r="28" spans="2:12">
      <c r="C28" s="13"/>
      <c r="D28" s="13"/>
      <c r="E28" s="13"/>
      <c r="G28" s="176"/>
      <c r="J28" s="206"/>
    </row>
    <row r="29" spans="2:12">
      <c r="C29" s="13"/>
      <c r="D29" s="13"/>
      <c r="E29" s="13"/>
      <c r="G29" s="176"/>
    </row>
    <row r="30" spans="2:12" hidden="1" outlineLevel="1">
      <c r="C30" s="13"/>
      <c r="D30" s="13"/>
      <c r="E30" s="13"/>
      <c r="G30" s="176"/>
    </row>
    <row r="31" spans="2:12" ht="15" hidden="1" outlineLevel="1">
      <c r="B31" s="178" t="s">
        <v>65</v>
      </c>
      <c r="C31" s="13"/>
      <c r="D31" s="13"/>
      <c r="E31" s="13"/>
      <c r="G31" s="176"/>
    </row>
    <row r="32" spans="2:12" hidden="1" outlineLevel="1">
      <c r="C32" s="13"/>
      <c r="D32" s="13"/>
      <c r="E32" s="13"/>
      <c r="G32" s="176"/>
    </row>
    <row r="33" spans="1:10" s="49" customFormat="1" ht="45" hidden="1" outlineLevel="1">
      <c r="A33" s="14"/>
      <c r="B33" s="27" t="s">
        <v>66</v>
      </c>
      <c r="C33" s="28" t="s">
        <v>67</v>
      </c>
      <c r="D33" s="28" t="s">
        <v>68</v>
      </c>
      <c r="E33" s="28" t="s">
        <v>3</v>
      </c>
      <c r="F33" s="17" t="s">
        <v>69</v>
      </c>
      <c r="G33" s="207" t="s">
        <v>1</v>
      </c>
      <c r="H33" s="156" t="s">
        <v>70</v>
      </c>
      <c r="I33" s="18" t="s">
        <v>13</v>
      </c>
      <c r="J33" s="14"/>
    </row>
    <row r="34" spans="1:10" s="49" customFormat="1" hidden="1" outlineLevel="1">
      <c r="A34" s="14"/>
      <c r="B34" s="208"/>
      <c r="C34" s="13"/>
      <c r="D34" s="209"/>
      <c r="E34" s="13"/>
      <c r="F34" s="209"/>
      <c r="G34" s="208"/>
      <c r="H34" s="210"/>
      <c r="I34" s="210"/>
      <c r="J34" s="14"/>
    </row>
    <row r="35" spans="1:10" s="49" customFormat="1" hidden="1" outlineLevel="1">
      <c r="A35" s="14"/>
      <c r="B35" s="211"/>
      <c r="C35" s="212"/>
      <c r="D35" s="13"/>
      <c r="E35" s="212"/>
      <c r="F35" s="213"/>
      <c r="G35" s="214"/>
      <c r="H35" s="215"/>
      <c r="I35" s="216"/>
      <c r="J35" s="14"/>
    </row>
    <row r="36" spans="1:10" s="49" customFormat="1" hidden="1" outlineLevel="1">
      <c r="A36" s="14"/>
      <c r="B36" s="217"/>
      <c r="C36" s="218"/>
      <c r="D36" s="219"/>
      <c r="E36" s="218"/>
      <c r="F36" s="220"/>
      <c r="G36" s="221"/>
      <c r="H36" s="222"/>
      <c r="I36" s="223"/>
      <c r="J36" s="14"/>
    </row>
    <row r="37" spans="1:10" s="49" customFormat="1" ht="15" hidden="1" outlineLevel="1">
      <c r="A37" s="14"/>
      <c r="B37" s="13"/>
      <c r="C37" s="13"/>
      <c r="D37" s="13"/>
      <c r="E37" s="13"/>
      <c r="F37" s="224"/>
      <c r="G37" s="176"/>
      <c r="H37" s="24" t="s">
        <v>12</v>
      </c>
      <c r="I37" s="225"/>
      <c r="J37" s="14"/>
    </row>
    <row r="38" spans="1:10" hidden="1" outlineLevel="1">
      <c r="C38" s="13"/>
      <c r="D38" s="13"/>
      <c r="E38" s="13"/>
      <c r="G38" s="176"/>
    </row>
    <row r="39" spans="1:10" hidden="1" outlineLevel="1">
      <c r="C39" s="226"/>
      <c r="D39" s="226"/>
      <c r="E39" s="226"/>
      <c r="G39" s="176"/>
    </row>
    <row r="40" spans="1:10" hidden="1" outlineLevel="1">
      <c r="C40" s="13"/>
      <c r="D40" s="13"/>
      <c r="E40" s="13"/>
      <c r="G40" s="176"/>
    </row>
    <row r="41" spans="1:10" ht="15" hidden="1" outlineLevel="1">
      <c r="B41" s="178" t="s">
        <v>71</v>
      </c>
      <c r="C41" s="13"/>
      <c r="D41" s="13"/>
      <c r="E41" s="13"/>
      <c r="G41" s="176"/>
    </row>
    <row r="42" spans="1:10" ht="15" hidden="1" outlineLevel="1">
      <c r="B42" s="34"/>
      <c r="C42" s="15"/>
      <c r="D42" s="15"/>
      <c r="E42" s="15"/>
      <c r="F42" s="15"/>
      <c r="G42" s="34"/>
      <c r="H42" s="34"/>
      <c r="I42" s="34"/>
      <c r="J42" s="15"/>
    </row>
    <row r="43" spans="1:10" ht="39.950000000000003" hidden="1" customHeight="1" outlineLevel="1">
      <c r="B43" s="179" t="s">
        <v>0</v>
      </c>
      <c r="C43" s="16" t="s">
        <v>72</v>
      </c>
      <c r="D43" s="17" t="s">
        <v>52</v>
      </c>
      <c r="E43" s="17" t="s">
        <v>2</v>
      </c>
      <c r="F43" s="17" t="s">
        <v>8</v>
      </c>
      <c r="G43" s="17" t="s">
        <v>1</v>
      </c>
      <c r="H43" s="27" t="s">
        <v>5</v>
      </c>
      <c r="I43" s="18" t="s">
        <v>13</v>
      </c>
    </row>
    <row r="44" spans="1:10" hidden="1" outlineLevel="1">
      <c r="B44" s="227"/>
      <c r="C44" s="228"/>
      <c r="D44" s="229"/>
      <c r="E44" s="229"/>
      <c r="F44" s="230"/>
      <c r="G44" s="229"/>
      <c r="H44" s="230"/>
      <c r="I44" s="229"/>
    </row>
    <row r="45" spans="1:10" ht="15.75" hidden="1" customHeight="1" outlineLevel="1">
      <c r="B45" s="231"/>
      <c r="C45" s="232"/>
      <c r="D45" s="233"/>
      <c r="E45" s="233"/>
      <c r="F45" s="234"/>
      <c r="G45" s="233"/>
      <c r="H45" s="235"/>
      <c r="I45" s="236"/>
    </row>
    <row r="46" spans="1:10" ht="14.25" hidden="1" customHeight="1" outlineLevel="1">
      <c r="B46" s="237"/>
      <c r="C46" s="238"/>
      <c r="D46" s="239"/>
      <c r="E46" s="240"/>
      <c r="F46" s="241"/>
      <c r="G46" s="242"/>
      <c r="H46" s="243"/>
      <c r="I46" s="244"/>
    </row>
    <row r="47" spans="1:10" ht="15" hidden="1" outlineLevel="1">
      <c r="B47" s="199"/>
      <c r="C47" s="200"/>
      <c r="D47" s="200"/>
      <c r="E47" s="200"/>
      <c r="F47" s="201"/>
      <c r="G47" s="202"/>
      <c r="H47" s="204" t="s">
        <v>12</v>
      </c>
      <c r="I47" s="205"/>
    </row>
    <row r="48" spans="1:10" hidden="1" outlineLevel="1">
      <c r="C48" s="13"/>
      <c r="D48" s="13"/>
      <c r="E48" s="13"/>
      <c r="G48" s="176"/>
    </row>
    <row r="49" spans="2:7" hidden="1" outlineLevel="1">
      <c r="G49" s="176"/>
    </row>
    <row r="50" spans="2:7" hidden="1" outlineLevel="1">
      <c r="C50" s="245"/>
      <c r="D50" s="245"/>
      <c r="E50" s="245"/>
      <c r="G50" s="176"/>
    </row>
    <row r="51" spans="2:7" hidden="1" outlineLevel="1">
      <c r="C51" s="245"/>
      <c r="D51" s="245"/>
      <c r="E51" s="245"/>
      <c r="G51" s="176"/>
    </row>
    <row r="52" spans="2:7" hidden="1" outlineLevel="1">
      <c r="G52" s="176"/>
    </row>
    <row r="53" spans="2:7" hidden="1" outlineLevel="1">
      <c r="B53" s="246"/>
      <c r="C53" s="246"/>
      <c r="D53" s="246"/>
      <c r="E53" s="246"/>
      <c r="F53" s="247"/>
      <c r="G53" s="246"/>
    </row>
    <row r="54" spans="2:7" hidden="1" outlineLevel="1">
      <c r="G54" s="176"/>
    </row>
    <row r="55" spans="2:7" collapsed="1">
      <c r="C55" s="13"/>
      <c r="D55" s="13"/>
      <c r="E55" s="13"/>
      <c r="G55" s="176"/>
    </row>
    <row r="56" spans="2:7">
      <c r="C56" s="13"/>
      <c r="D56" s="13"/>
      <c r="E56" s="13"/>
      <c r="G56" s="176"/>
    </row>
    <row r="57" spans="2:7">
      <c r="C57" s="13"/>
      <c r="D57" s="13"/>
      <c r="E57" s="13"/>
      <c r="G57" s="176"/>
    </row>
    <row r="58" spans="2:7">
      <c r="C58" s="13"/>
      <c r="D58" s="13"/>
      <c r="E58" s="13"/>
      <c r="G58" s="176"/>
    </row>
    <row r="59" spans="2:7">
      <c r="C59" s="13"/>
      <c r="D59" s="13"/>
      <c r="E59" s="13"/>
      <c r="G59" s="176"/>
    </row>
    <row r="60" spans="2:7">
      <c r="C60" s="13"/>
      <c r="D60" s="13"/>
      <c r="E60" s="13"/>
      <c r="G60" s="176"/>
    </row>
    <row r="61" spans="2:7">
      <c r="C61" s="13"/>
      <c r="D61" s="13"/>
      <c r="E61" s="13"/>
      <c r="G61" s="176"/>
    </row>
    <row r="62" spans="2:7">
      <c r="C62" s="13"/>
      <c r="D62" s="13"/>
      <c r="E62" s="13"/>
      <c r="G62" s="176"/>
    </row>
    <row r="63" spans="2:7">
      <c r="C63" s="13"/>
      <c r="D63" s="13"/>
      <c r="E63" s="13"/>
      <c r="G63" s="176"/>
    </row>
    <row r="64" spans="2:7">
      <c r="C64" s="13"/>
      <c r="D64" s="13"/>
      <c r="E64" s="13"/>
      <c r="G64" s="176"/>
    </row>
    <row r="65" spans="3:7">
      <c r="C65" s="13"/>
      <c r="D65" s="13"/>
      <c r="E65" s="13"/>
      <c r="G65" s="176"/>
    </row>
    <row r="66" spans="3:7">
      <c r="C66" s="13"/>
      <c r="D66" s="13"/>
      <c r="E66" s="13"/>
      <c r="G66" s="176"/>
    </row>
    <row r="67" spans="3:7">
      <c r="C67" s="13"/>
      <c r="D67" s="13"/>
      <c r="E67" s="13"/>
      <c r="G67" s="176"/>
    </row>
    <row r="68" spans="3:7">
      <c r="C68" s="13"/>
      <c r="D68" s="13"/>
      <c r="E68" s="13"/>
      <c r="G68" s="176"/>
    </row>
    <row r="69" spans="3:7">
      <c r="C69" s="13"/>
      <c r="D69" s="13"/>
      <c r="E69" s="13"/>
      <c r="G69" s="176"/>
    </row>
    <row r="70" spans="3:7">
      <c r="C70" s="13"/>
      <c r="D70" s="13"/>
      <c r="E70" s="13"/>
      <c r="G70" s="176"/>
    </row>
    <row r="71" spans="3:7">
      <c r="C71" s="13"/>
      <c r="D71" s="13"/>
      <c r="E71" s="13"/>
      <c r="G71" s="176"/>
    </row>
    <row r="72" spans="3:7">
      <c r="C72" s="13"/>
      <c r="D72" s="13"/>
      <c r="E72" s="13"/>
      <c r="G72" s="176"/>
    </row>
    <row r="73" spans="3:7">
      <c r="C73" s="13"/>
      <c r="D73" s="13"/>
      <c r="E73" s="13"/>
      <c r="G73" s="176"/>
    </row>
    <row r="74" spans="3:7">
      <c r="C74" s="13"/>
      <c r="D74" s="13"/>
      <c r="E74" s="13"/>
      <c r="G74" s="176"/>
    </row>
    <row r="75" spans="3:7">
      <c r="C75" s="13"/>
      <c r="D75" s="13"/>
      <c r="E75" s="13"/>
      <c r="G75" s="176"/>
    </row>
    <row r="76" spans="3:7">
      <c r="C76" s="13"/>
      <c r="D76" s="13"/>
      <c r="E76" s="13"/>
      <c r="G76" s="176"/>
    </row>
    <row r="77" spans="3:7">
      <c r="C77" s="13"/>
      <c r="D77" s="13"/>
      <c r="E77" s="13"/>
      <c r="G77" s="176"/>
    </row>
    <row r="78" spans="3:7">
      <c r="C78" s="13"/>
      <c r="D78" s="13"/>
      <c r="E78" s="13"/>
      <c r="G78" s="176"/>
    </row>
    <row r="79" spans="3:7">
      <c r="C79" s="13"/>
      <c r="D79" s="13"/>
      <c r="E79" s="13"/>
      <c r="G79" s="176"/>
    </row>
    <row r="80" spans="3:7">
      <c r="C80" s="13"/>
      <c r="D80" s="13"/>
      <c r="E80" s="13"/>
      <c r="G80" s="176"/>
    </row>
    <row r="81" spans="3:7">
      <c r="C81" s="13"/>
      <c r="D81" s="13"/>
      <c r="E81" s="13"/>
      <c r="G81" s="176"/>
    </row>
    <row r="82" spans="3:7">
      <c r="C82" s="13"/>
      <c r="D82" s="13"/>
      <c r="E82" s="13"/>
      <c r="G82" s="176"/>
    </row>
    <row r="83" spans="3:7">
      <c r="C83" s="13"/>
      <c r="D83" s="13"/>
      <c r="E83" s="13"/>
      <c r="G83" s="176"/>
    </row>
    <row r="84" spans="3:7">
      <c r="C84" s="13"/>
      <c r="D84" s="13"/>
      <c r="E84" s="13"/>
      <c r="G84" s="176"/>
    </row>
    <row r="85" spans="3:7">
      <c r="C85" s="13"/>
      <c r="D85" s="13"/>
      <c r="E85" s="13"/>
      <c r="G85" s="176"/>
    </row>
    <row r="86" spans="3:7">
      <c r="C86" s="13"/>
      <c r="D86" s="13"/>
      <c r="E86" s="13"/>
      <c r="G86" s="176"/>
    </row>
    <row r="87" spans="3:7">
      <c r="C87" s="248"/>
      <c r="D87" s="248"/>
      <c r="E87" s="248"/>
      <c r="G87" s="176"/>
    </row>
    <row r="88" spans="3:7">
      <c r="C88" s="13"/>
      <c r="D88" s="13"/>
      <c r="E88" s="13"/>
      <c r="G88" s="176"/>
    </row>
    <row r="89" spans="3:7">
      <c r="C89" s="13"/>
      <c r="D89" s="13"/>
      <c r="E89" s="13"/>
      <c r="G89" s="176"/>
    </row>
    <row r="90" spans="3:7">
      <c r="C90" s="13"/>
      <c r="D90" s="13"/>
      <c r="E90" s="13"/>
      <c r="G90" s="176"/>
    </row>
    <row r="91" spans="3:7">
      <c r="C91" s="13"/>
      <c r="D91" s="13"/>
      <c r="E91" s="13"/>
      <c r="G91" s="176"/>
    </row>
    <row r="92" spans="3:7">
      <c r="C92" s="13"/>
      <c r="D92" s="13"/>
      <c r="E92" s="13"/>
      <c r="G92" s="176"/>
    </row>
    <row r="93" spans="3:7">
      <c r="C93" s="13"/>
      <c r="D93" s="13"/>
      <c r="E93" s="13"/>
      <c r="G93" s="176"/>
    </row>
    <row r="94" spans="3:7">
      <c r="C94" s="248"/>
      <c r="D94" s="248"/>
      <c r="E94" s="248"/>
      <c r="G94" s="176"/>
    </row>
    <row r="95" spans="3:7">
      <c r="C95" s="13"/>
      <c r="D95" s="13"/>
      <c r="E95" s="13"/>
      <c r="G95" s="176"/>
    </row>
    <row r="96" spans="3:7">
      <c r="C96" s="226"/>
      <c r="D96" s="226"/>
      <c r="E96" s="226"/>
      <c r="G96" s="176"/>
    </row>
    <row r="97" spans="3:7">
      <c r="C97" s="13"/>
      <c r="D97" s="13"/>
      <c r="E97" s="13"/>
      <c r="G97" s="176"/>
    </row>
    <row r="98" spans="3:7">
      <c r="C98" s="13"/>
      <c r="D98" s="13"/>
      <c r="E98" s="13"/>
      <c r="G98" s="176"/>
    </row>
    <row r="99" spans="3:7">
      <c r="C99" s="13"/>
      <c r="D99" s="13"/>
      <c r="E99" s="13"/>
      <c r="G99" s="176"/>
    </row>
    <row r="100" spans="3:7">
      <c r="C100" s="13"/>
      <c r="D100" s="13"/>
      <c r="E100" s="13"/>
      <c r="G100" s="176"/>
    </row>
    <row r="101" spans="3:7">
      <c r="C101" s="13"/>
      <c r="D101" s="13"/>
      <c r="E101" s="13"/>
      <c r="G101" s="176"/>
    </row>
    <row r="102" spans="3:7">
      <c r="C102" s="13"/>
      <c r="D102" s="13"/>
      <c r="E102" s="13"/>
      <c r="G102" s="176"/>
    </row>
    <row r="103" spans="3:7">
      <c r="C103" s="13"/>
      <c r="D103" s="13"/>
      <c r="E103" s="13"/>
      <c r="G103" s="176"/>
    </row>
    <row r="104" spans="3:7">
      <c r="C104" s="13"/>
      <c r="D104" s="13"/>
      <c r="E104" s="13"/>
      <c r="G104" s="176"/>
    </row>
    <row r="105" spans="3:7">
      <c r="G105" s="249"/>
    </row>
    <row r="106" spans="3:7">
      <c r="G106" s="176"/>
    </row>
    <row r="107" spans="3:7">
      <c r="G107" s="176"/>
    </row>
    <row r="108" spans="3:7">
      <c r="G108" s="176"/>
    </row>
    <row r="109" spans="3:7">
      <c r="G109" s="176"/>
    </row>
    <row r="110" spans="3:7">
      <c r="C110" s="245"/>
      <c r="D110" s="245"/>
      <c r="E110" s="245"/>
      <c r="G110" s="176"/>
    </row>
    <row r="111" spans="3:7">
      <c r="C111" s="245"/>
      <c r="D111" s="245"/>
      <c r="E111" s="245"/>
      <c r="G111" s="176"/>
    </row>
    <row r="112" spans="3:7">
      <c r="G112" s="176"/>
    </row>
    <row r="113" spans="2:7">
      <c r="B113" s="246"/>
      <c r="C113" s="246"/>
      <c r="D113" s="246"/>
      <c r="E113" s="246"/>
      <c r="F113" s="247"/>
      <c r="G113" s="246"/>
    </row>
    <row r="114" spans="2:7">
      <c r="G114" s="176"/>
    </row>
    <row r="115" spans="2:7">
      <c r="C115" s="13"/>
      <c r="D115" s="13"/>
      <c r="E115" s="13"/>
      <c r="G115" s="176"/>
    </row>
    <row r="116" spans="2:7">
      <c r="C116" s="13"/>
      <c r="D116" s="13"/>
      <c r="E116" s="13"/>
      <c r="G116" s="176"/>
    </row>
    <row r="117" spans="2:7">
      <c r="C117" s="13"/>
      <c r="D117" s="13"/>
      <c r="E117" s="13"/>
      <c r="G117" s="176"/>
    </row>
    <row r="118" spans="2:7">
      <c r="C118" s="13"/>
      <c r="D118" s="13"/>
      <c r="E118" s="13"/>
      <c r="G118" s="176"/>
    </row>
    <row r="119" spans="2:7">
      <c r="C119" s="13"/>
      <c r="D119" s="13"/>
      <c r="E119" s="13"/>
      <c r="G119" s="176"/>
    </row>
    <row r="120" spans="2:7">
      <c r="C120" s="13"/>
      <c r="D120" s="13"/>
      <c r="E120" s="13"/>
      <c r="G120" s="176"/>
    </row>
    <row r="121" spans="2:7">
      <c r="C121" s="13"/>
      <c r="D121" s="13"/>
      <c r="E121" s="13"/>
      <c r="G121" s="176"/>
    </row>
    <row r="122" spans="2:7">
      <c r="C122" s="13"/>
      <c r="D122" s="13"/>
      <c r="E122" s="13"/>
      <c r="G122" s="176"/>
    </row>
    <row r="123" spans="2:7">
      <c r="C123" s="13"/>
      <c r="D123" s="13"/>
      <c r="E123" s="13"/>
      <c r="G123" s="176"/>
    </row>
    <row r="124" spans="2:7">
      <c r="C124" s="13"/>
      <c r="D124" s="13"/>
      <c r="E124" s="13"/>
      <c r="G124" s="176"/>
    </row>
    <row r="125" spans="2:7">
      <c r="C125" s="13"/>
      <c r="D125" s="13"/>
      <c r="E125" s="13"/>
      <c r="G125" s="176"/>
    </row>
    <row r="126" spans="2:7">
      <c r="C126" s="13"/>
      <c r="D126" s="13"/>
      <c r="E126" s="13"/>
      <c r="G126" s="176"/>
    </row>
    <row r="127" spans="2:7">
      <c r="C127" s="13"/>
      <c r="D127" s="13"/>
      <c r="E127" s="13"/>
      <c r="G127" s="176"/>
    </row>
    <row r="128" spans="2:7">
      <c r="C128" s="13"/>
      <c r="D128" s="13"/>
      <c r="E128" s="13"/>
      <c r="G128" s="176"/>
    </row>
    <row r="129" spans="3:7">
      <c r="C129" s="13"/>
      <c r="D129" s="13"/>
      <c r="E129" s="13"/>
      <c r="G129" s="176"/>
    </row>
    <row r="130" spans="3:7">
      <c r="C130" s="13"/>
      <c r="D130" s="13"/>
      <c r="E130" s="13"/>
      <c r="G130" s="176"/>
    </row>
    <row r="131" spans="3:7">
      <c r="C131" s="13"/>
      <c r="D131" s="13"/>
      <c r="E131" s="13"/>
      <c r="G131" s="176"/>
    </row>
    <row r="132" spans="3:7">
      <c r="C132" s="13"/>
      <c r="D132" s="13"/>
      <c r="E132" s="13"/>
      <c r="G132" s="176"/>
    </row>
    <row r="133" spans="3:7">
      <c r="C133" s="13"/>
      <c r="D133" s="13"/>
      <c r="E133" s="13"/>
      <c r="G133" s="176"/>
    </row>
    <row r="134" spans="3:7">
      <c r="C134" s="13"/>
      <c r="D134" s="13"/>
      <c r="E134" s="13"/>
      <c r="G134" s="176"/>
    </row>
    <row r="135" spans="3:7">
      <c r="C135" s="13"/>
      <c r="D135" s="13"/>
      <c r="E135" s="13"/>
      <c r="G135" s="176"/>
    </row>
    <row r="136" spans="3:7">
      <c r="C136" s="13"/>
      <c r="D136" s="13"/>
      <c r="E136" s="13"/>
      <c r="G136" s="176"/>
    </row>
    <row r="137" spans="3:7">
      <c r="C137" s="13"/>
      <c r="D137" s="13"/>
      <c r="E137" s="13"/>
      <c r="G137" s="176"/>
    </row>
  </sheetData>
  <mergeCells count="2">
    <mergeCell ref="B6:J6"/>
    <mergeCell ref="B8:J8"/>
  </mergeCells>
  <printOptions horizontalCentered="1" gridLinesSet="0"/>
  <pageMargins left="0.7" right="0.7" top="0.75" bottom="0.75" header="0.3" footer="0.3"/>
  <pageSetup paperSize="9" scale="4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F536-6677-44AC-8A7B-213ED80D7934}">
  <sheetPr codeName="Sheet9">
    <tabColor theme="3" tint="-0.249977111117893"/>
    <pageSetUpPr fitToPage="1"/>
  </sheetPr>
  <dimension ref="A1:N18"/>
  <sheetViews>
    <sheetView view="pageBreakPreview" topLeftCell="A4" zoomScale="115" zoomScaleNormal="100" zoomScaleSheetLayoutView="115" workbookViewId="0">
      <selection activeCell="B4" sqref="B4:M7"/>
    </sheetView>
  </sheetViews>
  <sheetFormatPr baseColWidth="10" defaultColWidth="9.28515625" defaultRowHeight="14.25"/>
  <cols>
    <col min="1" max="1" width="2.7109375" style="14" customWidth="1"/>
    <col min="2" max="2" width="13.7109375" style="49" customWidth="1"/>
    <col min="3" max="3" width="17.5703125" style="49" customWidth="1"/>
    <col min="4" max="6" width="13.7109375" style="49" customWidth="1"/>
    <col min="7" max="7" width="16.42578125" style="49" bestFit="1" customWidth="1"/>
    <col min="8" max="9" width="13.7109375" style="49" customWidth="1"/>
    <col min="10" max="10" width="18.42578125" style="49" customWidth="1"/>
    <col min="11" max="11" width="13.7109375" style="49" customWidth="1"/>
    <col min="12" max="12" width="20" style="49" customWidth="1"/>
    <col min="13" max="13" width="22.7109375" style="49" customWidth="1"/>
    <col min="14" max="14" width="2.7109375" style="14" customWidth="1"/>
    <col min="15" max="16384" width="9.28515625" style="49"/>
  </cols>
  <sheetData>
    <row r="1" spans="1:14" ht="15">
      <c r="A1" s="12"/>
      <c r="B1" s="117" t="str">
        <f>Chida_LUX!B1</f>
        <v>Carla_________</v>
      </c>
      <c r="C1" s="19"/>
      <c r="D1" s="11"/>
      <c r="E1" s="19"/>
      <c r="F1" s="19"/>
      <c r="G1" s="19"/>
      <c r="H1" s="19"/>
      <c r="I1" s="19"/>
      <c r="J1" s="19"/>
      <c r="K1" s="36"/>
      <c r="L1" s="19"/>
      <c r="M1" s="20" t="s">
        <v>43</v>
      </c>
      <c r="N1" s="12"/>
    </row>
    <row r="2" spans="1:14" ht="15">
      <c r="A2" s="12"/>
      <c r="B2" s="118" t="str">
        <f>Chida_LUX!B2</f>
        <v>Dossier</v>
      </c>
      <c r="C2" s="19"/>
      <c r="D2" s="11"/>
      <c r="E2" s="19"/>
      <c r="F2" s="19"/>
      <c r="G2" s="19"/>
      <c r="H2" s="19"/>
      <c r="I2" s="19"/>
      <c r="J2" s="19"/>
      <c r="K2" s="36"/>
      <c r="L2" s="19"/>
      <c r="M2" s="36"/>
      <c r="N2" s="12"/>
    </row>
    <row r="3" spans="1:14" ht="15">
      <c r="A3" s="12"/>
      <c r="B3" s="118">
        <f>Chida_LUX!B3</f>
        <v>0</v>
      </c>
      <c r="C3" s="22"/>
      <c r="D3" s="11"/>
      <c r="E3" s="22"/>
      <c r="F3" s="22"/>
      <c r="G3" s="22"/>
      <c r="H3" s="22"/>
      <c r="I3" s="22"/>
      <c r="J3" s="22"/>
      <c r="K3" s="36"/>
      <c r="L3" s="19"/>
      <c r="M3" s="36"/>
      <c r="N3" s="12"/>
    </row>
    <row r="4" spans="1:14" ht="15">
      <c r="A4" s="12"/>
      <c r="B4" s="119" t="str">
        <f>Chida_LUX!B4</f>
        <v>Address</v>
      </c>
      <c r="C4" s="31"/>
      <c r="D4" s="19"/>
      <c r="E4" s="31"/>
      <c r="F4" s="31"/>
      <c r="G4" s="31"/>
      <c r="H4" s="31"/>
      <c r="I4" s="31"/>
      <c r="J4" s="31"/>
      <c r="K4" s="36"/>
      <c r="L4" s="19"/>
      <c r="M4" s="36"/>
      <c r="N4" s="12"/>
    </row>
    <row r="5" spans="1:14" s="66" customFormat="1" ht="15.75">
      <c r="B5" s="70"/>
      <c r="C5" s="73"/>
      <c r="D5" s="70"/>
      <c r="E5" s="73"/>
      <c r="F5" s="73"/>
      <c r="G5" s="73"/>
      <c r="H5" s="73"/>
      <c r="I5" s="73"/>
      <c r="J5" s="73"/>
      <c r="K5" s="69"/>
      <c r="L5" s="70"/>
      <c r="M5" s="69"/>
    </row>
    <row r="6" spans="1:14" s="66" customFormat="1" ht="15.75">
      <c r="B6" s="306" t="s">
        <v>16</v>
      </c>
      <c r="C6" s="306"/>
      <c r="D6" s="305"/>
      <c r="E6" s="305"/>
      <c r="F6" s="305"/>
      <c r="G6" s="305"/>
      <c r="H6" s="305"/>
      <c r="I6" s="305"/>
      <c r="J6" s="305"/>
      <c r="K6" s="305"/>
      <c r="L6" s="313"/>
      <c r="M6" s="313"/>
    </row>
    <row r="7" spans="1:14" s="66" customFormat="1" ht="15">
      <c r="B7" s="70"/>
      <c r="C7" s="70"/>
      <c r="D7" s="70"/>
      <c r="E7" s="70"/>
      <c r="F7" s="70"/>
      <c r="G7" s="70"/>
      <c r="H7" s="70"/>
      <c r="I7" s="70"/>
      <c r="J7" s="70"/>
      <c r="K7" s="69"/>
      <c r="L7" s="70"/>
      <c r="M7" s="69"/>
    </row>
    <row r="8" spans="1:14" s="66" customFormat="1" ht="15.75">
      <c r="B8" s="303">
        <f>Chida_LUX!B8</f>
        <v>0</v>
      </c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</row>
    <row r="9" spans="1:14" s="66" customFormat="1" ht="15.75">
      <c r="A9" s="67"/>
      <c r="B9" s="70"/>
      <c r="C9" s="76"/>
      <c r="D9" s="70"/>
      <c r="E9" s="76"/>
      <c r="F9" s="76"/>
      <c r="G9" s="76"/>
      <c r="H9" s="76"/>
      <c r="I9" s="76"/>
      <c r="J9" s="76"/>
      <c r="K9" s="69"/>
      <c r="L9" s="70"/>
      <c r="M9" s="69"/>
      <c r="N9" s="67"/>
    </row>
    <row r="10" spans="1:14" ht="15">
      <c r="B10" s="19"/>
      <c r="C10" s="33"/>
      <c r="D10" s="19"/>
      <c r="E10" s="33"/>
      <c r="F10" s="33"/>
      <c r="G10" s="33"/>
      <c r="H10" s="33"/>
      <c r="I10" s="33"/>
      <c r="J10" s="33"/>
      <c r="K10" s="36"/>
      <c r="L10" s="19"/>
      <c r="M10" s="36"/>
    </row>
    <row r="11" spans="1:14" s="50" customFormat="1" ht="40.15" customHeight="1">
      <c r="A11" s="13"/>
      <c r="B11" s="16" t="s">
        <v>0</v>
      </c>
      <c r="C11" s="35" t="s">
        <v>23</v>
      </c>
      <c r="D11" s="17" t="s">
        <v>6</v>
      </c>
      <c r="E11" s="17" t="s">
        <v>17</v>
      </c>
      <c r="F11" s="17" t="s">
        <v>2</v>
      </c>
      <c r="G11" s="18" t="s">
        <v>8</v>
      </c>
      <c r="H11" s="27" t="s">
        <v>1</v>
      </c>
      <c r="I11" s="27" t="s">
        <v>5</v>
      </c>
      <c r="J11" s="18" t="s">
        <v>13</v>
      </c>
      <c r="K11" s="27" t="s">
        <v>9</v>
      </c>
      <c r="L11" s="29" t="s">
        <v>14</v>
      </c>
      <c r="M11" s="27" t="s">
        <v>15</v>
      </c>
      <c r="N11" s="13"/>
    </row>
    <row r="12" spans="1:14" s="91" customFormat="1" ht="12.75">
      <c r="B12" s="106"/>
      <c r="C12" s="101"/>
      <c r="D12" s="101"/>
      <c r="E12" s="101"/>
      <c r="F12" s="101"/>
      <c r="G12" s="115"/>
      <c r="H12" s="116" t="s">
        <v>39</v>
      </c>
      <c r="I12" s="113">
        <v>1</v>
      </c>
      <c r="J12" s="116">
        <f>+G12</f>
        <v>0</v>
      </c>
      <c r="K12" s="114">
        <v>0.17</v>
      </c>
      <c r="L12" s="116">
        <f>+K12*J12</f>
        <v>0</v>
      </c>
      <c r="M12" s="116">
        <f>+J12</f>
        <v>0</v>
      </c>
    </row>
    <row r="13" spans="1:14" s="91" customFormat="1" ht="12.75">
      <c r="B13" s="107"/>
      <c r="C13" s="108"/>
      <c r="D13" s="108"/>
      <c r="E13" s="108"/>
      <c r="F13" s="104"/>
      <c r="G13" s="111"/>
      <c r="H13" s="104"/>
      <c r="I13" s="109"/>
      <c r="J13" s="112"/>
      <c r="K13" s="110"/>
      <c r="L13" s="112"/>
      <c r="M13" s="112"/>
    </row>
    <row r="14" spans="1:14" ht="15">
      <c r="B14" s="19"/>
      <c r="C14" s="19"/>
      <c r="D14" s="19"/>
      <c r="E14" s="19"/>
      <c r="F14" s="19"/>
      <c r="G14" s="19"/>
      <c r="H14" s="25"/>
      <c r="I14" s="24" t="s">
        <v>12</v>
      </c>
      <c r="J14" s="75">
        <f>SUM(J12:J13)</f>
        <v>0</v>
      </c>
      <c r="K14" s="45"/>
      <c r="L14" s="75">
        <f>SUM(L12:L13)</f>
        <v>0</v>
      </c>
      <c r="M14" s="75">
        <f>SUM(M12:M13)</f>
        <v>0</v>
      </c>
    </row>
    <row r="15" spans="1:14">
      <c r="B15" s="19"/>
      <c r="C15" s="19"/>
      <c r="D15" s="19"/>
      <c r="E15" s="19"/>
      <c r="F15" s="19"/>
      <c r="G15" s="19"/>
      <c r="H15" s="19"/>
      <c r="I15" s="19"/>
      <c r="J15" s="19"/>
      <c r="K15" s="36"/>
      <c r="L15" s="19"/>
      <c r="M15" s="36"/>
    </row>
    <row r="16" spans="1:14">
      <c r="B16" s="19"/>
      <c r="C16" s="19"/>
      <c r="D16" s="19"/>
      <c r="E16" s="19"/>
      <c r="F16" s="19"/>
      <c r="G16" s="19"/>
      <c r="H16" s="19"/>
      <c r="I16" s="19"/>
      <c r="J16" s="19"/>
      <c r="K16" s="36"/>
      <c r="L16" s="19"/>
      <c r="M16" s="36"/>
    </row>
    <row r="17" spans="2:13" ht="15">
      <c r="B17" s="34"/>
      <c r="C17" s="34"/>
      <c r="D17" s="34"/>
      <c r="E17" s="34"/>
      <c r="F17" s="34"/>
      <c r="G17" s="34"/>
      <c r="H17" s="34"/>
      <c r="I17" s="34"/>
      <c r="J17" s="34"/>
      <c r="K17" s="15"/>
      <c r="L17" s="34"/>
      <c r="M17" s="15"/>
    </row>
    <row r="18" spans="2:13" ht="15">
      <c r="B18" s="34"/>
      <c r="C18" s="34"/>
      <c r="D18" s="34"/>
      <c r="E18" s="34"/>
      <c r="F18" s="34"/>
      <c r="G18" s="34"/>
      <c r="H18" s="34"/>
      <c r="I18" s="34"/>
      <c r="J18" s="34"/>
      <c r="K18" s="15"/>
      <c r="L18" s="34"/>
      <c r="M18" s="15"/>
    </row>
  </sheetData>
  <mergeCells count="2">
    <mergeCell ref="B6:M6"/>
    <mergeCell ref="B8:M8"/>
  </mergeCells>
  <pageMargins left="0.7" right="0.7" top="0.75" bottom="0.75" header="0.3" footer="0.3"/>
  <pageSetup paperSize="9"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4778-A712-48CB-B18D-7683CD742BDB}">
  <sheetPr codeName="Sheet11">
    <tabColor theme="5" tint="0.39997558519241921"/>
  </sheetPr>
  <dimension ref="A1:M30"/>
  <sheetViews>
    <sheetView view="pageBreakPreview" zoomScaleNormal="100" zoomScaleSheetLayoutView="100" workbookViewId="0">
      <selection activeCell="G26" sqref="G26"/>
    </sheetView>
  </sheetViews>
  <sheetFormatPr baseColWidth="10" defaultColWidth="9.28515625" defaultRowHeight="14.25" outlineLevelRow="1"/>
  <cols>
    <col min="1" max="1" width="2.7109375" style="14" customWidth="1"/>
    <col min="2" max="2" width="61.42578125" style="14" customWidth="1"/>
    <col min="3" max="3" width="9.28515625" style="14"/>
    <col min="4" max="4" width="20.5703125" style="14" customWidth="1"/>
    <col min="5" max="5" width="23" style="14" customWidth="1"/>
    <col min="6" max="6" width="22.7109375" style="14" customWidth="1"/>
    <col min="7" max="7" width="14.5703125" style="14" customWidth="1"/>
    <col min="8" max="8" width="4.5703125" style="14" customWidth="1"/>
    <col min="9" max="16384" width="9.28515625" style="14"/>
  </cols>
  <sheetData>
    <row r="1" spans="1:13" ht="15">
      <c r="B1" s="117" t="str">
        <f>+Achats_LUX!B1</f>
        <v>Carla_________</v>
      </c>
      <c r="G1" s="20" t="s">
        <v>11</v>
      </c>
    </row>
    <row r="2" spans="1:13">
      <c r="B2" s="117" t="s">
        <v>46</v>
      </c>
    </row>
    <row r="3" spans="1:13">
      <c r="B3" s="117">
        <v>0</v>
      </c>
    </row>
    <row r="4" spans="1:13">
      <c r="B4" s="117" t="s">
        <v>45</v>
      </c>
    </row>
    <row r="6" spans="1:13" s="66" customFormat="1" ht="15.75">
      <c r="B6" s="314" t="s">
        <v>30</v>
      </c>
      <c r="C6" s="314"/>
      <c r="D6" s="314"/>
      <c r="E6" s="314"/>
      <c r="F6" s="314"/>
      <c r="G6" s="315"/>
    </row>
    <row r="7" spans="1:13" s="66" customFormat="1" ht="15">
      <c r="C7" s="79"/>
      <c r="D7" s="79"/>
      <c r="E7" s="79"/>
      <c r="F7" s="79"/>
      <c r="G7" s="79"/>
    </row>
    <row r="8" spans="1:13" s="66" customFormat="1" ht="15.75">
      <c r="B8" s="303">
        <f>Chida_LUX!B8</f>
        <v>0</v>
      </c>
      <c r="C8" s="303"/>
      <c r="D8" s="303"/>
      <c r="E8" s="303"/>
      <c r="F8" s="303"/>
      <c r="G8" s="303"/>
      <c r="H8" s="120"/>
      <c r="I8" s="120"/>
      <c r="J8" s="120"/>
      <c r="K8" s="120"/>
      <c r="L8" s="120"/>
      <c r="M8" s="120"/>
    </row>
    <row r="9" spans="1:13" s="66" customFormat="1" ht="15.75">
      <c r="A9" s="67"/>
      <c r="B9" s="80"/>
      <c r="C9" s="80"/>
      <c r="D9" s="80"/>
      <c r="E9" s="80"/>
      <c r="F9" s="80"/>
      <c r="G9" s="80"/>
      <c r="H9" s="67"/>
    </row>
    <row r="10" spans="1:13" ht="12.75" customHeight="1">
      <c r="B10" s="65"/>
      <c r="C10" s="65"/>
      <c r="D10" s="65"/>
      <c r="E10" s="65"/>
      <c r="F10" s="65"/>
      <c r="G10" s="65"/>
    </row>
    <row r="11" spans="1:13" ht="33.75" hidden="1" customHeight="1" outlineLevel="1" thickBot="1">
      <c r="A11" s="48"/>
      <c r="B11" s="62" t="s">
        <v>27</v>
      </c>
      <c r="C11" s="65"/>
      <c r="D11" s="82">
        <v>1</v>
      </c>
      <c r="E11" s="84" t="s">
        <v>21</v>
      </c>
      <c r="F11" s="55"/>
      <c r="G11" s="55"/>
      <c r="H11" s="48"/>
    </row>
    <row r="12" spans="1:13" ht="15" hidden="1" outlineLevel="1">
      <c r="B12" s="81" t="s">
        <v>29</v>
      </c>
      <c r="C12" s="65"/>
      <c r="D12" s="65"/>
      <c r="E12" s="65"/>
      <c r="F12" s="55"/>
      <c r="G12" s="65"/>
    </row>
    <row r="13" spans="1:13" ht="15" hidden="1" outlineLevel="1">
      <c r="B13" s="65"/>
      <c r="C13" s="65"/>
      <c r="D13" s="65"/>
      <c r="E13" s="65"/>
      <c r="F13" s="55"/>
      <c r="G13" s="65"/>
    </row>
    <row r="14" spans="1:13" ht="15" customHeight="1" collapsed="1">
      <c r="F14" s="316" t="s">
        <v>25</v>
      </c>
      <c r="G14" s="316" t="s">
        <v>26</v>
      </c>
    </row>
    <row r="15" spans="1:13" ht="15" customHeight="1">
      <c r="F15" s="317"/>
      <c r="G15" s="317"/>
    </row>
    <row r="16" spans="1:13" ht="15">
      <c r="B16" s="59" t="s">
        <v>31</v>
      </c>
      <c r="F16" s="57"/>
      <c r="G16" s="57"/>
    </row>
    <row r="17" spans="2:8">
      <c r="F17" s="57"/>
      <c r="G17" s="78"/>
    </row>
    <row r="18" spans="2:8">
      <c r="B18" s="56" t="s">
        <v>32</v>
      </c>
      <c r="E18" s="14" t="s">
        <v>24</v>
      </c>
      <c r="F18" s="57">
        <f>Achats_LUX!F50</f>
        <v>1669.3100000000002</v>
      </c>
      <c r="G18" s="78">
        <f>F18*0.17</f>
        <v>283.78270000000003</v>
      </c>
    </row>
    <row r="19" spans="2:8">
      <c r="B19" s="56" t="s">
        <v>33</v>
      </c>
      <c r="E19" s="14" t="s">
        <v>24</v>
      </c>
      <c r="F19" s="57">
        <f>AIC!J49</f>
        <v>16772.190000000002</v>
      </c>
      <c r="G19" s="78">
        <f>F19*0.17</f>
        <v>2851.2723000000005</v>
      </c>
    </row>
    <row r="20" spans="2:8">
      <c r="B20" s="56" t="s">
        <v>34</v>
      </c>
      <c r="E20" s="14" t="s">
        <v>24</v>
      </c>
      <c r="F20" s="57">
        <f>'Importations 1'!J15</f>
        <v>0</v>
      </c>
      <c r="G20" s="78">
        <f>F20*0.17</f>
        <v>0</v>
      </c>
    </row>
    <row r="21" spans="2:8">
      <c r="B21" s="19" t="s">
        <v>35</v>
      </c>
      <c r="E21" s="14" t="s">
        <v>24</v>
      </c>
      <c r="F21" s="57">
        <v>0</v>
      </c>
      <c r="G21" s="78">
        <f>F21*0.17</f>
        <v>0</v>
      </c>
    </row>
    <row r="22" spans="2:8" ht="13.5" customHeight="1" thickBot="1">
      <c r="B22" s="19"/>
      <c r="F22" s="57"/>
      <c r="G22" s="64"/>
    </row>
    <row r="23" spans="2:8" ht="15.75" thickBot="1">
      <c r="B23" s="34" t="s">
        <v>36</v>
      </c>
      <c r="F23" s="57"/>
      <c r="G23" s="83">
        <f>SUM(G18:G21)</f>
        <v>3135.0550000000007</v>
      </c>
      <c r="H23" s="30" t="s">
        <v>22</v>
      </c>
    </row>
    <row r="24" spans="2:8" ht="15.75" thickBot="1">
      <c r="F24" s="57"/>
      <c r="G24" s="60"/>
    </row>
    <row r="25" spans="2:8" ht="24" customHeight="1" thickBot="1">
      <c r="B25" s="88" t="s">
        <v>37</v>
      </c>
      <c r="D25" s="87"/>
      <c r="F25" s="30" t="s">
        <v>28</v>
      </c>
      <c r="G25" s="86">
        <f>G23*D11</f>
        <v>3135.0550000000007</v>
      </c>
    </row>
    <row r="26" spans="2:8" ht="24" customHeight="1">
      <c r="B26" s="56" t="s">
        <v>38</v>
      </c>
      <c r="D26" s="87"/>
      <c r="F26" s="58"/>
      <c r="G26" s="85">
        <f>G23-G25</f>
        <v>0</v>
      </c>
    </row>
    <row r="27" spans="2:8" ht="16.5" customHeight="1"/>
    <row r="28" spans="2:8" ht="16.5" customHeight="1"/>
    <row r="29" spans="2:8" ht="16.5" customHeight="1"/>
    <row r="30" spans="2:8" ht="15">
      <c r="B30" s="63"/>
      <c r="C30" s="61"/>
      <c r="D30" s="61"/>
    </row>
  </sheetData>
  <mergeCells count="4">
    <mergeCell ref="B6:G6"/>
    <mergeCell ref="B8:G8"/>
    <mergeCell ref="F14:F15"/>
    <mergeCell ref="G14:G15"/>
  </mergeCells>
  <pageMargins left="0.7" right="0.7" top="0.75" bottom="0.75" header="0.3" footer="0.3"/>
  <pageSetup paperSize="9" scale="5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32B9-02BC-4743-85C0-37DE4B8E6A18}">
  <dimension ref="A1"/>
  <sheetViews>
    <sheetView workbookViewId="0"/>
  </sheetViews>
  <sheetFormatPr baseColWidth="10" defaultColWidth="11.5703125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Achats_LUX</vt:lpstr>
      <vt:lpstr>AIC</vt:lpstr>
      <vt:lpstr>Chida_LUX</vt:lpstr>
      <vt:lpstr>Chida_UE</vt:lpstr>
      <vt:lpstr>Importations 1</vt:lpstr>
      <vt:lpstr>Chida_HUE</vt:lpstr>
      <vt:lpstr>Importations</vt:lpstr>
      <vt:lpstr>Montant TVA déductible</vt:lpstr>
      <vt:lpstr>Feuil1</vt:lpstr>
      <vt:lpstr>Chida_LUX!Zone_d_impression</vt:lpstr>
    </vt:vector>
  </TitlesOfParts>
  <Company>DTT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FGL</dc:creator>
  <cp:lastModifiedBy>Daniel Alves</cp:lastModifiedBy>
  <cp:lastPrinted>2026-07-24T16:12:41Z</cp:lastPrinted>
  <dcterms:created xsi:type="dcterms:W3CDTF">2001-02-08T08:32:07Z</dcterms:created>
  <dcterms:modified xsi:type="dcterms:W3CDTF">2026-07-24T20:11:32Z</dcterms:modified>
</cp:coreProperties>
</file>